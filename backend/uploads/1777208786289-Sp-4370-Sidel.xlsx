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 P Industries\Quotations\SP QUOTATION\"/>
    </mc:Choice>
  </mc:AlternateContent>
  <xr:revisionPtr revIDLastSave="0" documentId="13_ncr:1_{67CE078A-A392-4353-83B8-C59E6D8347FA}" xr6:coauthVersionLast="47" xr6:coauthVersionMax="47" xr10:uidLastSave="{00000000-0000-0000-0000-000000000000}"/>
  <bookViews>
    <workbookView xWindow="21168" yWindow="-100" windowWidth="21467" windowHeight="11443" tabRatio="768" xr2:uid="{00000000-000D-0000-FFFF-FFFF00000000}"/>
  </bookViews>
  <sheets>
    <sheet name="Quotation" sheetId="1" r:id="rId1"/>
    <sheet name="Sheet1" sheetId="6" r:id="rId2"/>
    <sheet name="4327059803" sheetId="8" r:id="rId3"/>
    <sheet name="4327083503" sheetId="9" r:id="rId4"/>
    <sheet name="4327033201" sheetId="10" r:id="rId5"/>
    <sheet name="4322369101" sheetId="11" r:id="rId6"/>
    <sheet name="4353703501" sheetId="12" r:id="rId7"/>
    <sheet name="4332033801" sheetId="13" r:id="rId8"/>
  </sheets>
  <calcPr calcId="191029"/>
</workbook>
</file>

<file path=xl/calcChain.xml><?xml version="1.0" encoding="utf-8"?>
<calcChain xmlns="http://schemas.openxmlformats.org/spreadsheetml/2006/main">
  <c r="E25" i="1" l="1"/>
  <c r="E23" i="1"/>
  <c r="E21" i="1"/>
  <c r="E19" i="1"/>
  <c r="E17" i="1"/>
  <c r="E15" i="1"/>
  <c r="V13" i="13"/>
  <c r="V12" i="13"/>
  <c r="V14" i="12"/>
  <c r="V13" i="12"/>
  <c r="V6" i="10"/>
  <c r="V12" i="8"/>
  <c r="V13" i="8" s="1"/>
  <c r="H16" i="9"/>
  <c r="R16" i="9" s="1"/>
  <c r="V5" i="9"/>
  <c r="S16" i="9" l="1"/>
  <c r="U16" i="9" s="1"/>
  <c r="V16" i="9" s="1"/>
  <c r="H10" i="13" l="1"/>
  <c r="R10" i="13" s="1"/>
  <c r="V9" i="13"/>
  <c r="H9" i="13"/>
  <c r="I9" i="13" s="1"/>
  <c r="H8" i="13"/>
  <c r="R8" i="13" s="1"/>
  <c r="S8" i="13" s="1"/>
  <c r="H7" i="13"/>
  <c r="R7" i="13" s="1"/>
  <c r="H6" i="13"/>
  <c r="R6" i="13" s="1"/>
  <c r="V5" i="13"/>
  <c r="H5" i="13"/>
  <c r="R5" i="13" s="1"/>
  <c r="S5" i="13" s="1"/>
  <c r="V4" i="13"/>
  <c r="H4" i="13"/>
  <c r="R4" i="13" s="1"/>
  <c r="S4" i="13" s="1"/>
  <c r="H3" i="13"/>
  <c r="R3" i="13" s="1"/>
  <c r="H10" i="12"/>
  <c r="V9" i="12"/>
  <c r="H9" i="12"/>
  <c r="R9" i="12" s="1"/>
  <c r="H8" i="12"/>
  <c r="R8" i="12" s="1"/>
  <c r="H7" i="12"/>
  <c r="R7" i="12" s="1"/>
  <c r="H6" i="12"/>
  <c r="R6" i="12" s="1"/>
  <c r="V5" i="12"/>
  <c r="H5" i="12"/>
  <c r="R5" i="12" s="1"/>
  <c r="S5" i="12" s="1"/>
  <c r="V4" i="12"/>
  <c r="H4" i="12"/>
  <c r="R4" i="12" s="1"/>
  <c r="S4" i="12" s="1"/>
  <c r="H3" i="12"/>
  <c r="I3" i="12" s="1"/>
  <c r="H8" i="11"/>
  <c r="H7" i="11"/>
  <c r="R7" i="11" s="1"/>
  <c r="H6" i="11"/>
  <c r="R6" i="11" s="1"/>
  <c r="H5" i="11"/>
  <c r="R5" i="11" s="1"/>
  <c r="V4" i="11"/>
  <c r="H4" i="11"/>
  <c r="R4" i="11" s="1"/>
  <c r="S4" i="11" s="1"/>
  <c r="V3" i="11"/>
  <c r="H3" i="11"/>
  <c r="R3" i="11" s="1"/>
  <c r="S3" i="11" s="1"/>
  <c r="H2" i="11"/>
  <c r="R2" i="11" s="1"/>
  <c r="H5" i="10"/>
  <c r="R5" i="10" s="1"/>
  <c r="H4" i="10"/>
  <c r="R4" i="10" s="1"/>
  <c r="S4" i="10" s="1"/>
  <c r="U4" i="10" s="1"/>
  <c r="V4" i="10" s="1"/>
  <c r="V3" i="10"/>
  <c r="H3" i="10"/>
  <c r="R3" i="10" s="1"/>
  <c r="S3" i="10" s="1"/>
  <c r="H2" i="10"/>
  <c r="R2" i="10" s="1"/>
  <c r="H18" i="9"/>
  <c r="R18" i="9" s="1"/>
  <c r="H17" i="9"/>
  <c r="R17" i="9" s="1"/>
  <c r="H15" i="9"/>
  <c r="R15" i="9" s="1"/>
  <c r="H14" i="9"/>
  <c r="R14" i="9" s="1"/>
  <c r="V13" i="9"/>
  <c r="V12" i="9"/>
  <c r="H10" i="9"/>
  <c r="V9" i="9"/>
  <c r="H9" i="9"/>
  <c r="R9" i="9" s="1"/>
  <c r="H8" i="9"/>
  <c r="R8" i="9" s="1"/>
  <c r="H7" i="9"/>
  <c r="R7" i="9" s="1"/>
  <c r="H6" i="9"/>
  <c r="R6" i="9" s="1"/>
  <c r="H5" i="9"/>
  <c r="R5" i="9" s="1"/>
  <c r="S5" i="9" s="1"/>
  <c r="V4" i="9"/>
  <c r="H4" i="9"/>
  <c r="R4" i="9" s="1"/>
  <c r="S4" i="9" s="1"/>
  <c r="H3" i="9"/>
  <c r="I3" i="9" s="1"/>
  <c r="H10" i="8"/>
  <c r="R10" i="8" s="1"/>
  <c r="H9" i="8"/>
  <c r="I9" i="8" s="1"/>
  <c r="H8" i="8"/>
  <c r="R8" i="8" s="1"/>
  <c r="H7" i="8"/>
  <c r="R7" i="8" s="1"/>
  <c r="H6" i="8"/>
  <c r="R6" i="8" s="1"/>
  <c r="H5" i="8"/>
  <c r="R5" i="8" s="1"/>
  <c r="H4" i="8"/>
  <c r="R4" i="8" s="1"/>
  <c r="H3" i="8"/>
  <c r="I3" i="8" s="1"/>
  <c r="R3" i="9" l="1"/>
  <c r="I9" i="9"/>
  <c r="S9" i="9" s="1"/>
  <c r="I3" i="13"/>
  <c r="S3" i="13" s="1"/>
  <c r="U3" i="13" s="1"/>
  <c r="V3" i="13" s="1"/>
  <c r="I9" i="12"/>
  <c r="R3" i="8"/>
  <c r="S3" i="8" s="1"/>
  <c r="U3" i="8" s="1"/>
  <c r="V3" i="8" s="1"/>
  <c r="S10" i="8"/>
  <c r="U10" i="8" s="1"/>
  <c r="V10" i="8" s="1"/>
  <c r="R9" i="8"/>
  <c r="S9" i="8" s="1"/>
  <c r="V9" i="8" s="1"/>
  <c r="R9" i="13"/>
  <c r="S9" i="13" s="1"/>
  <c r="S6" i="13"/>
  <c r="U6" i="13" s="1"/>
  <c r="V6" i="13" s="1"/>
  <c r="U8" i="13"/>
  <c r="V8" i="13" s="1"/>
  <c r="S7" i="13"/>
  <c r="U7" i="13" s="1"/>
  <c r="V7" i="13" s="1"/>
  <c r="S7" i="12"/>
  <c r="U7" i="12" s="1"/>
  <c r="V7" i="12" s="1"/>
  <c r="S9" i="12"/>
  <c r="R10" i="12"/>
  <c r="S10" i="12" s="1"/>
  <c r="S8" i="12"/>
  <c r="U8" i="12" s="1"/>
  <c r="V8" i="12" s="1"/>
  <c r="S6" i="12"/>
  <c r="U6" i="12" s="1"/>
  <c r="V6" i="12" s="1"/>
  <c r="R3" i="12"/>
  <c r="I2" i="11"/>
  <c r="R8" i="11"/>
  <c r="S8" i="11" s="1"/>
  <c r="U8" i="11" s="1"/>
  <c r="V8" i="11" s="1"/>
  <c r="S6" i="11"/>
  <c r="U6" i="11" s="1"/>
  <c r="V6" i="11" s="1"/>
  <c r="S5" i="11"/>
  <c r="U5" i="11" s="1"/>
  <c r="V5" i="11" s="1"/>
  <c r="S7" i="11"/>
  <c r="U7" i="11" s="1"/>
  <c r="V7" i="11" s="1"/>
  <c r="S2" i="11"/>
  <c r="U2" i="11" s="1"/>
  <c r="V2" i="11" s="1"/>
  <c r="S5" i="10"/>
  <c r="U5" i="10" s="1"/>
  <c r="V5" i="10" s="1"/>
  <c r="I2" i="10"/>
  <c r="S18" i="9"/>
  <c r="U18" i="9" s="1"/>
  <c r="V18" i="9" s="1"/>
  <c r="S17" i="9"/>
  <c r="U17" i="9" s="1"/>
  <c r="V17" i="9" s="1"/>
  <c r="S15" i="9"/>
  <c r="U15" i="9" s="1"/>
  <c r="V15" i="9" s="1"/>
  <c r="S14" i="9"/>
  <c r="U14" i="9" s="1"/>
  <c r="V14" i="9" s="1"/>
  <c r="S6" i="9"/>
  <c r="U6" i="9" s="1"/>
  <c r="V6" i="9" s="1"/>
  <c r="S7" i="9"/>
  <c r="U7" i="9" s="1"/>
  <c r="V7" i="9" s="1"/>
  <c r="S3" i="9"/>
  <c r="U3" i="9" s="1"/>
  <c r="V3" i="9" s="1"/>
  <c r="S8" i="9"/>
  <c r="U8" i="9" s="1"/>
  <c r="V8" i="9" s="1"/>
  <c r="R10" i="9"/>
  <c r="S10" i="9" s="1"/>
  <c r="S6" i="8"/>
  <c r="U6" i="8" s="1"/>
  <c r="V6" i="8" s="1"/>
  <c r="S7" i="8"/>
  <c r="U7" i="8" s="1"/>
  <c r="V7" i="8" s="1"/>
  <c r="S8" i="8"/>
  <c r="U8" i="8" s="1"/>
  <c r="V8" i="8" s="1"/>
  <c r="S5" i="8"/>
  <c r="V5" i="8"/>
  <c r="S4" i="8"/>
  <c r="V4" i="8" s="1"/>
  <c r="V9" i="11" l="1"/>
  <c r="U10" i="9"/>
  <c r="V10" i="9" s="1"/>
  <c r="V19" i="9" s="1"/>
  <c r="V11" i="8"/>
  <c r="F15" i="1" s="1"/>
  <c r="S10" i="13"/>
  <c r="U10" i="13" s="1"/>
  <c r="V10" i="13" s="1"/>
  <c r="V11" i="13" s="1"/>
  <c r="F25" i="1" s="1"/>
  <c r="U10" i="12"/>
  <c r="V10" i="12" s="1"/>
  <c r="S3" i="12"/>
  <c r="V3" i="12" s="1"/>
  <c r="S2" i="10"/>
  <c r="U2" i="10" s="1"/>
  <c r="V2" i="10" s="1"/>
  <c r="F21" i="1" l="1"/>
  <c r="V10" i="11"/>
  <c r="V11" i="11" s="1"/>
  <c r="F19" i="1"/>
  <c r="V7" i="10"/>
  <c r="V8" i="10" s="1"/>
  <c r="F17" i="1"/>
  <c r="V20" i="9"/>
  <c r="V21" i="9" s="1"/>
  <c r="V12" i="12"/>
  <c r="F23" i="1" l="1"/>
  <c r="F31" i="1" s="1"/>
</calcChain>
</file>

<file path=xl/sharedStrings.xml><?xml version="1.0" encoding="utf-8"?>
<sst xmlns="http://schemas.openxmlformats.org/spreadsheetml/2006/main" count="500" uniqueCount="118">
  <si>
    <t>QUOTATION</t>
  </si>
  <si>
    <t xml:space="preserve">S.P. INDUSTRIES </t>
  </si>
  <si>
    <t>Plot No-97, Sector No - 7, PCNTDA, MIDC Bhosari, Pune - 411 026</t>
  </si>
  <si>
    <t>Mob no -09823714674</t>
  </si>
  <si>
    <t>SPECIAL PURPOSE MACHINES/FIXTURES DESIGN &amp; MANUFACTURING, REVERSE ENGINEERING, PRECISION ENGINEERING WORK, CAD SERVICES</t>
  </si>
  <si>
    <t>To,</t>
  </si>
  <si>
    <t>Your Inquiry No.</t>
  </si>
  <si>
    <t>Sidel India Pvt. Ltd.</t>
  </si>
  <si>
    <t>Plot No. B-19, MIDC, Chakan Industrial Area</t>
  </si>
  <si>
    <t>Mahalunga Village, Taluka Khed, District Pune – 410501, Maharashtra, India</t>
  </si>
  <si>
    <t>Dear Sir,</t>
  </si>
  <si>
    <t xml:space="preserve">   We Thank you for your enquiry &amp; have pleasure in quotation below for your requirement.</t>
  </si>
  <si>
    <t>Sr No</t>
  </si>
  <si>
    <t>Drawing No.</t>
  </si>
  <si>
    <t>Description</t>
  </si>
  <si>
    <t>QTY</t>
  </si>
  <si>
    <t>Unit Rate</t>
  </si>
  <si>
    <t>Value</t>
  </si>
  <si>
    <t>Rs         Ps</t>
  </si>
  <si>
    <t>Total</t>
  </si>
  <si>
    <t>Terms &amp; Conditions</t>
  </si>
  <si>
    <t>Prices quoted are for Ex-Works</t>
  </si>
  <si>
    <t>Packing &amp; Forwarding Charges Will be extra</t>
  </si>
  <si>
    <t>GST : 18 %  extra</t>
  </si>
  <si>
    <t>Delivery :4 to 6 weeks from the date of receipt of your technically &amp; commercially confirmed clear purchase order.</t>
  </si>
  <si>
    <t>Payment Terms : Against Delivery</t>
  </si>
  <si>
    <t>Validity  :This quotation hold good for acceptance for 30days after which it is subject to our confirmation.</t>
  </si>
  <si>
    <t>We hope that the above is clear &amp; look forward to the pleasure of receiving your valuable order at the earliest.</t>
  </si>
  <si>
    <t xml:space="preserve">                                                                               For S.P.INDUSTRIES               </t>
  </si>
  <si>
    <t>Material</t>
  </si>
  <si>
    <t>Material Size</t>
  </si>
  <si>
    <t>Wight</t>
  </si>
  <si>
    <t>Material Cost</t>
  </si>
  <si>
    <t>CNC / Turning</t>
  </si>
  <si>
    <t>Milling/Cutting</t>
  </si>
  <si>
    <t>VMC</t>
  </si>
  <si>
    <t>Drilling</t>
  </si>
  <si>
    <t>Taping</t>
  </si>
  <si>
    <t>Grinding</t>
  </si>
  <si>
    <t>Finish</t>
  </si>
  <si>
    <t>Profit &amp;over heads</t>
  </si>
  <si>
    <t>Qty</t>
  </si>
  <si>
    <t>Unit price</t>
  </si>
  <si>
    <t>Lasure/Wire cutting</t>
  </si>
  <si>
    <t>Welding/ Hardness</t>
  </si>
  <si>
    <t>Total Price</t>
  </si>
  <si>
    <t>Component number</t>
  </si>
  <si>
    <t>Object description</t>
  </si>
  <si>
    <t>Quotation No. :- SP-04340</t>
  </si>
  <si>
    <t>Explosion level</t>
  </si>
  <si>
    <t>Item Number</t>
  </si>
  <si>
    <t>Additional Info</t>
  </si>
  <si>
    <t>Unit</t>
  </si>
  <si>
    <t>Remark</t>
  </si>
  <si>
    <t>.1</t>
  </si>
  <si>
    <t>3P32</t>
  </si>
  <si>
    <t>GRIP CAM SUPPORT DP720 4B ONE</t>
  </si>
  <si>
    <t>PCE</t>
  </si>
  <si>
    <t>Assembly to quote</t>
  </si>
  <si>
    <t>..2</t>
  </si>
  <si>
    <t>0001</t>
  </si>
  <si>
    <t>ADJUSTING FLAT CAMMA 720</t>
  </si>
  <si>
    <t>Quoted</t>
  </si>
  <si>
    <t>0002</t>
  </si>
  <si>
    <t>GRIP CAM 720</t>
  </si>
  <si>
    <t>0003</t>
  </si>
  <si>
    <t>SCREW ISO4017-M10X020-A2-70</t>
  </si>
  <si>
    <t/>
  </si>
  <si>
    <t>0004</t>
  </si>
  <si>
    <t>WASHER DIN7349-L10-A2</t>
  </si>
  <si>
    <t>0005</t>
  </si>
  <si>
    <t>SCREW ISO4017-M10X045-A2-70</t>
  </si>
  <si>
    <t>0006</t>
  </si>
  <si>
    <t>SPACER</t>
  </si>
  <si>
    <t>0007</t>
  </si>
  <si>
    <t>80000HSP008</t>
  </si>
  <si>
    <t>ELASTIC PIN</t>
  </si>
  <si>
    <t>SPIN.ELA.I304-6873- 4X25</t>
  </si>
  <si>
    <t>3P33</t>
  </si>
  <si>
    <t>ASSY CAM SUPPORT DP1080 ONE</t>
  </si>
  <si>
    <t>ADJUSTING FLAT CAMMA 1080</t>
  </si>
  <si>
    <t>GRIP CAM 1080</t>
  </si>
  <si>
    <t>0008</t>
  </si>
  <si>
    <t>ASSY COUNTER-CAM STELLA 1080</t>
  </si>
  <si>
    <t>...3</t>
  </si>
  <si>
    <t>COUNTER-CAM 1080</t>
  </si>
  <si>
    <t>LOCKING SPACER CONTROCAMMA</t>
  </si>
  <si>
    <t>WASHER ISO7094-08-100HV-A2</t>
  </si>
  <si>
    <t>SCREW ISO4017-M08X020-A2-70</t>
  </si>
  <si>
    <t>80000HSP004</t>
  </si>
  <si>
    <t>PIN</t>
  </si>
  <si>
    <t>SPIN.ELA.I304-6873- 4X16</t>
  </si>
  <si>
    <t>WASHER ISO7089-08-200HV-A2</t>
  </si>
  <si>
    <t>SCREW ISO4017-M08X016-A2-70</t>
  </si>
  <si>
    <t>3P35</t>
  </si>
  <si>
    <t>ASSY SUPPORT FLANGE DP 720 ONE</t>
  </si>
  <si>
    <t>SUPPORT FLANGE</t>
  </si>
  <si>
    <t>SCREW ISO4017-M16X045-A2-70</t>
  </si>
  <si>
    <t>WASHER ISO7089-16-200HV-A2</t>
  </si>
  <si>
    <t>3P37</t>
  </si>
  <si>
    <t>ASSY SUPPORT ARM DP.1080</t>
  </si>
  <si>
    <t>COLUMN ARM DP 1080</t>
  </si>
  <si>
    <t>SCREW ISO4017-M12X040-A2-70</t>
  </si>
  <si>
    <t>WASHER D40X12.5X3</t>
  </si>
  <si>
    <t>SCREW ISO4017-M16X035-A2-70</t>
  </si>
  <si>
    <t>80000HSL208</t>
  </si>
  <si>
    <t>PEG I304-1707 6X20</t>
  </si>
  <si>
    <t>PINA CILINDRICA - UNI 1707 - D.6X20 IN ACC.INOX AISI 304</t>
  </si>
  <si>
    <t>3P49</t>
  </si>
  <si>
    <t>GRIP CAM SUPPORT DP720 ONE</t>
  </si>
  <si>
    <t>ADJUSTING FLAT CAMMA DP720</t>
  </si>
  <si>
    <t>3P50</t>
  </si>
  <si>
    <t>Sr no</t>
  </si>
  <si>
    <t>Drg no</t>
  </si>
  <si>
    <t>PEG I304-1707 6X20 (O ring)</t>
  </si>
  <si>
    <t>Assembly Drawing</t>
  </si>
  <si>
    <t>Assembly Cost</t>
  </si>
  <si>
    <t>Date :- 15/11/2025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</si>
</sst>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10"/>
      <name val="Arial"/>
      <charset val="134"/>
    </font>
    <font>
      <i/>
      <sz val="11"/>
      <name val="Arial"/>
      <charset val="134"/>
    </font>
    <font>
      <sz val="11"/>
      <name val="Arial"/>
      <charset val="134"/>
    </font>
    <font>
      <sz val="10"/>
      <color theme="1"/>
      <name val="Aptos Narrow"/>
      <charset val="134"/>
      <scheme val="minor"/>
    </font>
    <font>
      <sz val="8"/>
      <name val="Arial"/>
      <charset val="134"/>
    </font>
    <font>
      <b/>
      <sz val="10"/>
      <color theme="1"/>
      <name val="Aptos Narrow"/>
      <charset val="134"/>
      <scheme val="minor"/>
    </font>
    <font>
      <b/>
      <sz val="12"/>
      <name val="Times New Roman"/>
      <charset val="134"/>
    </font>
    <font>
      <sz val="18"/>
      <color indexed="53"/>
      <name val="Arial Black"/>
      <charset val="134"/>
    </font>
    <font>
      <sz val="9"/>
      <name val="Arial Black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Arial"/>
      <charset val="134"/>
    </font>
    <font>
      <b/>
      <sz val="11"/>
      <name val="Arial"/>
      <charset val="134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80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7" xfId="0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top"/>
    </xf>
    <xf numFmtId="0" fontId="4" fillId="2" borderId="11" xfId="1" applyFont="1" applyFill="1" applyBorder="1" applyAlignment="1">
      <alignment horizontal="left" vertical="top"/>
    </xf>
    <xf numFmtId="1" fontId="16" fillId="2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" fontId="22" fillId="2" borderId="12" xfId="0" applyNumberFormat="1" applyFont="1" applyFill="1" applyBorder="1" applyAlignment="1">
      <alignment horizontal="center" vertical="center"/>
    </xf>
    <xf numFmtId="1" fontId="2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22" fillId="3" borderId="12" xfId="0" applyNumberFormat="1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1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22" fillId="4" borderId="12" xfId="0" applyNumberFormat="1" applyFont="1" applyFill="1" applyBorder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6" borderId="1" xfId="0" applyFill="1" applyBorder="1" applyAlignment="1">
      <alignment vertical="top"/>
    </xf>
    <xf numFmtId="3" fontId="0" fillId="6" borderId="1" xfId="0" applyNumberFormat="1" applyFill="1" applyBorder="1" applyAlignment="1">
      <alignment horizontal="right"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center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top"/>
    </xf>
    <xf numFmtId="0" fontId="19" fillId="3" borderId="1" xfId="0" applyFont="1" applyFill="1" applyBorder="1" applyAlignment="1">
      <alignment horizontal="center" vertical="top"/>
    </xf>
    <xf numFmtId="0" fontId="19" fillId="0" borderId="1" xfId="0" applyFont="1" applyBorder="1" applyAlignment="1">
      <alignment vertical="top"/>
    </xf>
    <xf numFmtId="0" fontId="19" fillId="0" borderId="1" xfId="0" applyFont="1" applyBorder="1" applyAlignment="1">
      <alignment horizontal="center" vertical="top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top"/>
    </xf>
    <xf numFmtId="0" fontId="19" fillId="4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vertical="top"/>
    </xf>
    <xf numFmtId="3" fontId="0" fillId="6" borderId="1" xfId="0" applyNumberFormat="1" applyFill="1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0" fontId="18" fillId="0" borderId="1" xfId="0" applyFont="1" applyBorder="1" applyAlignment="1">
      <alignment horizontal="center"/>
    </xf>
    <xf numFmtId="0" fontId="18" fillId="6" borderId="1" xfId="0" applyFont="1" applyFill="1" applyBorder="1" applyAlignment="1">
      <alignment vertical="top"/>
    </xf>
    <xf numFmtId="0" fontId="18" fillId="3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vertical="top"/>
    </xf>
    <xf numFmtId="0" fontId="18" fillId="0" borderId="1" xfId="0" applyFont="1" applyBorder="1" applyAlignment="1">
      <alignment horizontal="center" vertical="top"/>
    </xf>
    <xf numFmtId="0" fontId="21" fillId="2" borderId="1" xfId="0" applyFont="1" applyFill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2" borderId="1" xfId="0" applyFont="1" applyFill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 vertical="center"/>
    </xf>
    <xf numFmtId="1" fontId="26" fillId="2" borderId="1" xfId="0" applyNumberFormat="1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1" fontId="26" fillId="3" borderId="1" xfId="0" applyNumberFormat="1" applyFont="1" applyFill="1" applyBorder="1" applyAlignment="1">
      <alignment horizontal="center" vertical="center"/>
    </xf>
    <xf numFmtId="1" fontId="27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/>
    <xf numFmtId="0" fontId="18" fillId="3" borderId="1" xfId="0" applyFont="1" applyFill="1" applyBorder="1" applyAlignment="1">
      <alignment vertical="top"/>
    </xf>
    <xf numFmtId="0" fontId="18" fillId="3" borderId="1" xfId="0" applyFont="1" applyFill="1" applyBorder="1" applyAlignment="1">
      <alignment horizontal="center"/>
    </xf>
    <xf numFmtId="0" fontId="25" fillId="3" borderId="1" xfId="0" applyFont="1" applyFill="1" applyBorder="1"/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 vertical="top"/>
    </xf>
    <xf numFmtId="0" fontId="18" fillId="7" borderId="1" xfId="0" applyFont="1" applyFill="1" applyBorder="1" applyAlignment="1">
      <alignment vertical="top"/>
    </xf>
    <xf numFmtId="0" fontId="18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164" fontId="27" fillId="7" borderId="1" xfId="0" applyNumberFormat="1" applyFont="1" applyFill="1" applyBorder="1" applyAlignment="1">
      <alignment horizontal="center" vertical="center"/>
    </xf>
    <xf numFmtId="1" fontId="26" fillId="7" borderId="1" xfId="0" applyNumberFormat="1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25" fillId="2" borderId="0" xfId="0" applyFont="1" applyFill="1"/>
    <xf numFmtId="0" fontId="1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 vertical="center"/>
    </xf>
    <xf numFmtId="164" fontId="27" fillId="4" borderId="1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1" fontId="27" fillId="4" borderId="1" xfId="0" applyNumberFormat="1" applyFont="1" applyFill="1" applyBorder="1" applyAlignment="1">
      <alignment horizontal="center" vertical="center"/>
    </xf>
    <xf numFmtId="1" fontId="26" fillId="2" borderId="1" xfId="0" applyNumberFormat="1" applyFont="1" applyFill="1" applyBorder="1" applyAlignment="1">
      <alignment horizontal="left" vertical="center"/>
    </xf>
    <xf numFmtId="1" fontId="26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top"/>
    </xf>
    <xf numFmtId="0" fontId="25" fillId="3" borderId="0" xfId="0" applyFont="1" applyFill="1"/>
    <xf numFmtId="0" fontId="1" fillId="2" borderId="1" xfId="0" applyFont="1" applyFill="1" applyBorder="1" applyAlignment="1">
      <alignment vertical="top"/>
    </xf>
    <xf numFmtId="1" fontId="5" fillId="2" borderId="1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left"/>
    </xf>
    <xf numFmtId="0" fontId="1" fillId="0" borderId="1" xfId="0" applyFont="1" applyBorder="1" applyAlignment="1">
      <alignment vertical="top"/>
    </xf>
    <xf numFmtId="0" fontId="0" fillId="6" borderId="1" xfId="0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/>
    <xf numFmtId="0" fontId="0" fillId="0" borderId="0" xfId="0" applyAlignment="1">
      <alignment horizontal="right"/>
    </xf>
    <xf numFmtId="1" fontId="22" fillId="2" borderId="13" xfId="0" applyNumberFormat="1" applyFont="1" applyFill="1" applyBorder="1" applyAlignment="1">
      <alignment horizontal="center" vertical="center"/>
    </xf>
    <xf numFmtId="0" fontId="28" fillId="0" borderId="0" xfId="0" applyFont="1"/>
    <xf numFmtId="0" fontId="4" fillId="2" borderId="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right" vertical="top" wrapText="1"/>
    </xf>
    <xf numFmtId="0" fontId="14" fillId="2" borderId="9" xfId="0" applyFont="1" applyFill="1" applyBorder="1" applyAlignment="1">
      <alignment horizontal="right" vertical="top" wrapText="1"/>
    </xf>
    <xf numFmtId="0" fontId="14" fillId="2" borderId="10" xfId="0" applyFont="1" applyFill="1" applyBorder="1" applyAlignment="1">
      <alignment horizontal="righ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7" xfId="0" applyFont="1" applyFill="1" applyBorder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1" fontId="15" fillId="2" borderId="11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0" fontId="20" fillId="2" borderId="6" xfId="0" applyFont="1" applyFill="1" applyBorder="1" applyAlignment="1">
      <alignment horizontal="left" vertical="top" wrapText="1"/>
    </xf>
    <xf numFmtId="0" fontId="13" fillId="2" borderId="7" xfId="0" applyFont="1" applyFill="1" applyBorder="1" applyAlignment="1">
      <alignment horizontal="left" vertical="top" wrapText="1"/>
    </xf>
    <xf numFmtId="0" fontId="13" fillId="2" borderId="8" xfId="0" applyFont="1" applyFill="1" applyBorder="1" applyAlignment="1">
      <alignment horizontal="center" vertical="top" wrapText="1"/>
    </xf>
    <xf numFmtId="0" fontId="13" fillId="2" borderId="9" xfId="0" applyFont="1" applyFill="1" applyBorder="1" applyAlignment="1">
      <alignment horizontal="center" vertical="top" wrapText="1"/>
    </xf>
    <xf numFmtId="0" fontId="13" fillId="2" borderId="10" xfId="0" applyFont="1" applyFill="1" applyBorder="1" applyAlignment="1">
      <alignment horizontal="center" vertical="top" wrapText="1"/>
    </xf>
    <xf numFmtId="0" fontId="10" fillId="2" borderId="3" xfId="1" applyFont="1" applyFill="1" applyBorder="1" applyAlignment="1">
      <alignment horizontal="center" vertical="top" wrapText="1"/>
    </xf>
    <xf numFmtId="0" fontId="10" fillId="2" borderId="4" xfId="1" applyFont="1" applyFill="1" applyBorder="1" applyAlignment="1">
      <alignment horizontal="center" vertical="top" wrapText="1"/>
    </xf>
    <xf numFmtId="0" fontId="10" fillId="2" borderId="5" xfId="1" applyFont="1" applyFill="1" applyBorder="1" applyAlignment="1">
      <alignment horizontal="center" vertical="top" wrapText="1"/>
    </xf>
    <xf numFmtId="0" fontId="11" fillId="2" borderId="6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top" wrapText="1"/>
    </xf>
    <xf numFmtId="0" fontId="13" fillId="2" borderId="9" xfId="1" applyFont="1" applyFill="1" applyBorder="1" applyAlignment="1">
      <alignment horizontal="center" vertical="top" wrapText="1"/>
    </xf>
    <xf numFmtId="0" fontId="13" fillId="2" borderId="10" xfId="1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vertical="center" wrapText="1"/>
    </xf>
    <xf numFmtId="0" fontId="23" fillId="2" borderId="7" xfId="0" applyFont="1" applyFill="1" applyBorder="1" applyAlignment="1">
      <alignment vertical="center" wrapText="1"/>
    </xf>
    <xf numFmtId="0" fontId="23" fillId="2" borderId="8" xfId="0" applyFont="1" applyFill="1" applyBorder="1" applyAlignment="1">
      <alignment vertical="center" wrapText="1"/>
    </xf>
    <xf numFmtId="0" fontId="23" fillId="2" borderId="9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right"/>
    </xf>
    <xf numFmtId="0" fontId="28" fillId="3" borderId="0" xfId="0" applyFont="1" applyFill="1"/>
    <xf numFmtId="0" fontId="18" fillId="0" borderId="0" xfId="0" applyFont="1"/>
    <xf numFmtId="0" fontId="19" fillId="0" borderId="0" xfId="0" applyFont="1"/>
    <xf numFmtId="0" fontId="29" fillId="0" borderId="0" xfId="0" applyFont="1" applyAlignment="1">
      <alignment horizontal="right"/>
    </xf>
    <xf numFmtId="0" fontId="29" fillId="3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133641</xdr:colOff>
      <xdr:row>0</xdr:row>
      <xdr:rowOff>77373</xdr:rowOff>
    </xdr:from>
    <xdr:to>
      <xdr:col>1</xdr:col>
      <xdr:colOff>314454</xdr:colOff>
      <xdr:row>2</xdr:row>
      <xdr:rowOff>164122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3641" y="77373"/>
          <a:ext cx="579397" cy="540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63796</xdr:colOff>
      <xdr:row>0</xdr:row>
      <xdr:rowOff>32826</xdr:rowOff>
    </xdr:from>
    <xdr:to>
      <xdr:col>5</xdr:col>
      <xdr:colOff>640862</xdr:colOff>
      <xdr:row>2</xdr:row>
      <xdr:rowOff>53928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78257" y="32826"/>
          <a:ext cx="577066" cy="474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90" zoomScaleNormal="90" workbookViewId="0">
      <selection activeCell="H7" sqref="H7"/>
    </sheetView>
  </sheetViews>
  <sheetFormatPr defaultColWidth="8.5" defaultRowHeight="14.4"/>
  <cols>
    <col min="1" max="1" width="5.69921875" style="11" customWidth="1"/>
    <col min="2" max="2" width="14.19921875" style="11" customWidth="1"/>
    <col min="3" max="3" width="38.8984375" style="12" customWidth="1"/>
    <col min="4" max="4" width="6.69921875" style="13" customWidth="1"/>
    <col min="5" max="5" width="12.69921875" style="1" customWidth="1"/>
    <col min="6" max="6" width="10.8984375" style="1" customWidth="1"/>
    <col min="7" max="16384" width="8.5" style="1"/>
  </cols>
  <sheetData>
    <row r="1" spans="1:6" ht="15.55">
      <c r="A1" s="152" t="s">
        <v>0</v>
      </c>
      <c r="B1" s="153"/>
      <c r="C1" s="153"/>
      <c r="D1" s="153"/>
      <c r="E1" s="153"/>
      <c r="F1" s="154"/>
    </row>
    <row r="2" spans="1:6" ht="20.5" customHeight="1">
      <c r="A2" s="155" t="s">
        <v>1</v>
      </c>
      <c r="B2" s="156"/>
      <c r="C2" s="156"/>
      <c r="D2" s="156"/>
      <c r="E2" s="156"/>
      <c r="F2" s="157"/>
    </row>
    <row r="3" spans="1:6" s="8" customFormat="1">
      <c r="A3" s="158" t="s">
        <v>2</v>
      </c>
      <c r="B3" s="159"/>
      <c r="C3" s="159"/>
      <c r="D3" s="159"/>
      <c r="E3" s="159"/>
      <c r="F3" s="160"/>
    </row>
    <row r="4" spans="1:6" s="8" customFormat="1" ht="13.3">
      <c r="A4" s="161" t="s">
        <v>3</v>
      </c>
      <c r="B4" s="162"/>
      <c r="C4" s="162"/>
      <c r="D4" s="162"/>
      <c r="E4" s="162"/>
      <c r="F4" s="163"/>
    </row>
    <row r="5" spans="1:6" s="9" customFormat="1" ht="12.75" customHeight="1">
      <c r="A5" s="167" t="s">
        <v>4</v>
      </c>
      <c r="B5" s="168"/>
      <c r="C5" s="168"/>
      <c r="D5" s="168"/>
      <c r="E5" s="168"/>
      <c r="F5" s="169"/>
    </row>
    <row r="6" spans="1:6" s="9" customFormat="1" ht="13.3" customHeight="1">
      <c r="A6" s="170"/>
      <c r="B6" s="171"/>
      <c r="C6" s="171"/>
      <c r="D6" s="168"/>
      <c r="E6" s="168"/>
      <c r="F6" s="169"/>
    </row>
    <row r="7" spans="1:6" s="8" customFormat="1" ht="13.3">
      <c r="A7" s="164" t="s">
        <v>5</v>
      </c>
      <c r="B7" s="165"/>
      <c r="C7" s="165"/>
      <c r="D7" s="164" t="s">
        <v>6</v>
      </c>
      <c r="E7" s="165"/>
      <c r="F7" s="166"/>
    </row>
    <row r="8" spans="1:6" s="8" customFormat="1" ht="13.3">
      <c r="A8" s="145" t="s">
        <v>7</v>
      </c>
      <c r="B8" s="146"/>
      <c r="C8" s="146"/>
      <c r="D8" s="147" t="s">
        <v>48</v>
      </c>
      <c r="E8" s="146"/>
      <c r="F8" s="148"/>
    </row>
    <row r="9" spans="1:6" s="8" customFormat="1" ht="13.3">
      <c r="A9" s="145" t="s">
        <v>8</v>
      </c>
      <c r="B9" s="146"/>
      <c r="C9" s="146"/>
      <c r="D9" s="147" t="s">
        <v>117</v>
      </c>
      <c r="E9" s="146"/>
      <c r="F9" s="148"/>
    </row>
    <row r="10" spans="1:6" s="8" customFormat="1" ht="13.3">
      <c r="A10" s="145" t="s">
        <v>9</v>
      </c>
      <c r="B10" s="146"/>
      <c r="C10" s="146"/>
      <c r="D10" s="149"/>
      <c r="E10" s="150"/>
      <c r="F10" s="151"/>
    </row>
    <row r="11" spans="1:6" ht="15.55">
      <c r="A11" s="139" t="s">
        <v>10</v>
      </c>
      <c r="B11" s="140"/>
      <c r="C11" s="140"/>
      <c r="D11" s="141"/>
      <c r="E11" s="141"/>
      <c r="F11" s="142"/>
    </row>
    <row r="12" spans="1:6" ht="15.55">
      <c r="A12" s="143" t="s">
        <v>11</v>
      </c>
      <c r="B12" s="141"/>
      <c r="C12" s="141"/>
      <c r="D12" s="141"/>
      <c r="E12" s="141"/>
      <c r="F12" s="142"/>
    </row>
    <row r="13" spans="1:6">
      <c r="A13" s="135" t="s">
        <v>12</v>
      </c>
      <c r="B13" s="135" t="s">
        <v>13</v>
      </c>
      <c r="C13" s="137" t="s">
        <v>14</v>
      </c>
      <c r="D13" s="138" t="s">
        <v>15</v>
      </c>
      <c r="E13" s="14" t="s">
        <v>16</v>
      </c>
      <c r="F13" s="14" t="s">
        <v>17</v>
      </c>
    </row>
    <row r="14" spans="1:6">
      <c r="A14" s="136"/>
      <c r="B14" s="135"/>
      <c r="C14" s="137"/>
      <c r="D14" s="138"/>
      <c r="E14" s="15" t="s">
        <v>18</v>
      </c>
      <c r="F14" s="15" t="s">
        <v>18</v>
      </c>
    </row>
    <row r="15" spans="1:6" ht="16.5" customHeight="1">
      <c r="A15" s="120">
        <v>1</v>
      </c>
      <c r="B15" s="124">
        <v>4327059803</v>
      </c>
      <c r="C15" s="125" t="s">
        <v>56</v>
      </c>
      <c r="D15" s="124">
        <v>1</v>
      </c>
      <c r="E15" s="119">
        <f>'4327059803'!V13</f>
        <v>36771.840000000004</v>
      </c>
      <c r="F15" s="119">
        <f>E15*D15</f>
        <v>36771.840000000004</v>
      </c>
    </row>
    <row r="16" spans="1:6" ht="16.2" customHeight="1">
      <c r="A16" s="120"/>
      <c r="B16" s="61"/>
      <c r="C16" s="121"/>
      <c r="D16" s="118"/>
      <c r="E16" s="119"/>
      <c r="F16" s="119"/>
    </row>
    <row r="17" spans="1:6" ht="16.5" customHeight="1">
      <c r="A17" s="120">
        <v>2</v>
      </c>
      <c r="B17" s="124">
        <v>4327083503</v>
      </c>
      <c r="C17" s="125" t="s">
        <v>79</v>
      </c>
      <c r="D17" s="124">
        <v>1</v>
      </c>
      <c r="E17" s="119">
        <f>'4327083503'!V21</f>
        <v>70281.33</v>
      </c>
      <c r="F17" s="119">
        <f>E17*D17</f>
        <v>70281.33</v>
      </c>
    </row>
    <row r="18" spans="1:6" ht="16.2" customHeight="1">
      <c r="A18" s="120"/>
      <c r="B18" s="61"/>
      <c r="C18" s="121"/>
      <c r="D18" s="118"/>
      <c r="E18" s="119"/>
      <c r="F18" s="119"/>
    </row>
    <row r="19" spans="1:6" ht="16.2" customHeight="1">
      <c r="A19" s="120">
        <v>3</v>
      </c>
      <c r="B19" s="124">
        <v>4327033201</v>
      </c>
      <c r="C19" s="125" t="s">
        <v>95</v>
      </c>
      <c r="D19" s="124">
        <v>1</v>
      </c>
      <c r="E19" s="119">
        <f>'4327033201'!V8</f>
        <v>166063.79999999999</v>
      </c>
      <c r="F19" s="119">
        <f>E19*D19</f>
        <v>166063.79999999999</v>
      </c>
    </row>
    <row r="20" spans="1:6" ht="16.2" customHeight="1">
      <c r="A20" s="120">
        <v>6</v>
      </c>
      <c r="B20" s="61"/>
      <c r="C20" s="121"/>
      <c r="D20" s="118"/>
      <c r="E20" s="119"/>
      <c r="F20" s="119"/>
    </row>
    <row r="21" spans="1:6" ht="16.2" customHeight="1">
      <c r="A21" s="120">
        <v>7</v>
      </c>
      <c r="B21" s="124">
        <v>4322369101</v>
      </c>
      <c r="C21" s="125" t="s">
        <v>100</v>
      </c>
      <c r="D21" s="124">
        <v>1</v>
      </c>
      <c r="E21" s="119">
        <f>'4322369101'!V11</f>
        <v>36058.68</v>
      </c>
      <c r="F21" s="119">
        <f>E21*D21</f>
        <v>36058.68</v>
      </c>
    </row>
    <row r="22" spans="1:6" ht="16.2" customHeight="1">
      <c r="A22" s="62">
        <v>8</v>
      </c>
      <c r="B22" s="63"/>
      <c r="C22" s="64"/>
      <c r="D22" s="7"/>
      <c r="E22" s="29"/>
      <c r="F22" s="29"/>
    </row>
    <row r="23" spans="1:6" ht="16.2" customHeight="1">
      <c r="A23" s="120">
        <v>9</v>
      </c>
      <c r="B23" s="124">
        <v>4353703501</v>
      </c>
      <c r="C23" s="125" t="s">
        <v>109</v>
      </c>
      <c r="D23" s="124">
        <v>1</v>
      </c>
      <c r="E23" s="119">
        <f>'4353703501'!V14</f>
        <v>99843.66</v>
      </c>
      <c r="F23" s="119">
        <f>E23*D23</f>
        <v>99843.66</v>
      </c>
    </row>
    <row r="24" spans="1:6" ht="16.2" customHeight="1">
      <c r="A24" s="62">
        <v>10</v>
      </c>
      <c r="B24" s="63"/>
      <c r="C24" s="64"/>
      <c r="D24" s="7"/>
      <c r="E24" s="29"/>
      <c r="F24" s="29"/>
    </row>
    <row r="25" spans="1:6" ht="16.2" customHeight="1">
      <c r="A25" s="120">
        <v>11</v>
      </c>
      <c r="B25" s="124">
        <v>4332033801</v>
      </c>
      <c r="C25" s="125" t="s">
        <v>56</v>
      </c>
      <c r="D25" s="124">
        <v>1</v>
      </c>
      <c r="E25" s="119">
        <f>'4332033801'!V13</f>
        <v>33339.18</v>
      </c>
      <c r="F25" s="119">
        <f>E25*D25</f>
        <v>33339.18</v>
      </c>
    </row>
    <row r="26" spans="1:6" ht="16.2" customHeight="1">
      <c r="A26" s="62">
        <v>12</v>
      </c>
      <c r="B26" s="63"/>
      <c r="C26" s="64"/>
      <c r="D26" s="7"/>
      <c r="E26" s="29"/>
      <c r="F26" s="29"/>
    </row>
    <row r="27" spans="1:6" ht="16.2" customHeight="1">
      <c r="A27" s="62">
        <v>13</v>
      </c>
      <c r="B27" s="63"/>
      <c r="C27" s="64"/>
      <c r="D27" s="7"/>
      <c r="E27" s="29"/>
      <c r="F27" s="29"/>
    </row>
    <row r="28" spans="1:6" ht="16.2" customHeight="1">
      <c r="A28" s="26">
        <v>14</v>
      </c>
      <c r="B28" s="27"/>
      <c r="C28" s="28"/>
      <c r="D28" s="7"/>
      <c r="E28" s="29"/>
      <c r="F28" s="29"/>
    </row>
    <row r="29" spans="1:6" ht="16.2" customHeight="1">
      <c r="A29" s="26">
        <v>15</v>
      </c>
      <c r="B29" s="27"/>
      <c r="C29" s="28"/>
      <c r="D29" s="7"/>
      <c r="E29" s="29"/>
      <c r="F29" s="29"/>
    </row>
    <row r="30" spans="1:6" ht="16.2" customHeight="1">
      <c r="A30" s="26">
        <v>16</v>
      </c>
      <c r="B30" s="27"/>
      <c r="C30" s="28"/>
      <c r="D30" s="7"/>
      <c r="E30" s="29"/>
      <c r="F30" s="29"/>
    </row>
    <row r="31" spans="1:6" s="10" customFormat="1" ht="18.7" customHeight="1">
      <c r="A31" s="22"/>
      <c r="B31" s="23"/>
      <c r="C31" s="24"/>
      <c r="D31" s="144" t="s">
        <v>19</v>
      </c>
      <c r="E31" s="144"/>
      <c r="F31" s="25">
        <f>SUM(F15:F30)</f>
        <v>442358.48999999993</v>
      </c>
    </row>
    <row r="32" spans="1:6" ht="19.95" customHeight="1">
      <c r="A32" s="129" t="s">
        <v>20</v>
      </c>
      <c r="B32" s="130"/>
      <c r="C32" s="130"/>
      <c r="D32" s="130"/>
      <c r="E32" s="130"/>
      <c r="F32" s="131"/>
    </row>
    <row r="33" spans="1:6" ht="19.95" customHeight="1">
      <c r="A33" s="16" t="s">
        <v>21</v>
      </c>
      <c r="B33" s="17"/>
      <c r="C33" s="18"/>
      <c r="D33" s="19"/>
      <c r="E33" s="20"/>
      <c r="F33" s="21"/>
    </row>
    <row r="34" spans="1:6" ht="19.95" customHeight="1">
      <c r="A34" s="16" t="s">
        <v>22</v>
      </c>
      <c r="B34" s="17"/>
      <c r="C34" s="18"/>
      <c r="D34" s="19"/>
      <c r="E34" s="20"/>
      <c r="F34" s="21"/>
    </row>
    <row r="35" spans="1:6" ht="19.95" customHeight="1">
      <c r="A35" s="16" t="s">
        <v>23</v>
      </c>
      <c r="B35" s="17"/>
      <c r="C35" s="18"/>
      <c r="D35" s="19"/>
      <c r="E35" s="20"/>
      <c r="F35" s="21"/>
    </row>
    <row r="36" spans="1:6" ht="24.95" customHeight="1">
      <c r="A36" s="129" t="s">
        <v>24</v>
      </c>
      <c r="B36" s="130"/>
      <c r="C36" s="130"/>
      <c r="D36" s="130"/>
      <c r="E36" s="130"/>
      <c r="F36" s="131"/>
    </row>
    <row r="37" spans="1:6" ht="17.899999999999999" customHeight="1">
      <c r="A37" s="16" t="s">
        <v>25</v>
      </c>
      <c r="B37" s="17"/>
      <c r="C37" s="18"/>
      <c r="D37" s="19"/>
      <c r="E37" s="20"/>
      <c r="F37" s="21"/>
    </row>
    <row r="38" spans="1:6" ht="26.6" customHeight="1">
      <c r="A38" s="129" t="s">
        <v>26</v>
      </c>
      <c r="B38" s="130"/>
      <c r="C38" s="130"/>
      <c r="D38" s="130"/>
      <c r="E38" s="130"/>
      <c r="F38" s="131"/>
    </row>
    <row r="39" spans="1:6" ht="27.15" customHeight="1">
      <c r="A39" s="129" t="s">
        <v>27</v>
      </c>
      <c r="B39" s="130"/>
      <c r="C39" s="130"/>
      <c r="D39" s="130"/>
      <c r="E39" s="130"/>
      <c r="F39" s="131"/>
    </row>
    <row r="40" spans="1:6" ht="22.15" customHeight="1">
      <c r="A40" s="132" t="s">
        <v>28</v>
      </c>
      <c r="B40" s="133"/>
      <c r="C40" s="133"/>
      <c r="D40" s="133"/>
      <c r="E40" s="133"/>
      <c r="F40" s="134"/>
    </row>
  </sheetData>
  <mergeCells count="25">
    <mergeCell ref="A1:F1"/>
    <mergeCell ref="A2:F2"/>
    <mergeCell ref="A3:F3"/>
    <mergeCell ref="A4:F4"/>
    <mergeCell ref="A7:C7"/>
    <mergeCell ref="D7:F7"/>
    <mergeCell ref="A5:F6"/>
    <mergeCell ref="A8:C8"/>
    <mergeCell ref="D8:F8"/>
    <mergeCell ref="A9:C9"/>
    <mergeCell ref="D9:F9"/>
    <mergeCell ref="A10:C10"/>
    <mergeCell ref="D10:F10"/>
    <mergeCell ref="A11:F11"/>
    <mergeCell ref="A12:F12"/>
    <mergeCell ref="D31:E31"/>
    <mergeCell ref="A32:F32"/>
    <mergeCell ref="A36:F36"/>
    <mergeCell ref="A38:F38"/>
    <mergeCell ref="A39:F39"/>
    <mergeCell ref="A40:F40"/>
    <mergeCell ref="A13:A14"/>
    <mergeCell ref="B13:B14"/>
    <mergeCell ref="C13:C14"/>
    <mergeCell ref="D13:D14"/>
  </mergeCells>
  <printOptions horizontalCentered="1" verticalCentered="1"/>
  <pageMargins left="0.7" right="0.7" top="0.75" bottom="0.75" header="0.3" footer="0.3"/>
  <pageSetup orientation="portrait" r:id="rId1"/>
  <headerFooter>
    <oddFooter>&amp;C
&amp;1#&amp;"Arial"&amp;7&amp;K7f7f7f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workbookViewId="0">
      <selection activeCell="C51" sqref="C51"/>
    </sheetView>
  </sheetViews>
  <sheetFormatPr defaultColWidth="10.5" defaultRowHeight="14.4"/>
  <cols>
    <col min="1" max="1" width="9.8984375" style="52" bestFit="1" customWidth="1"/>
    <col min="2" max="2" width="11.8984375" style="52" bestFit="1" customWidth="1"/>
    <col min="3" max="3" width="17.09765625" style="52" bestFit="1" customWidth="1"/>
    <col min="4" max="4" width="31.3984375" style="52" bestFit="1" customWidth="1"/>
    <col min="5" max="5" width="29" style="52" customWidth="1"/>
    <col min="6" max="6" width="3.8984375" style="52" bestFit="1" customWidth="1"/>
    <col min="7" max="7" width="4.8984375" style="52" bestFit="1" customWidth="1"/>
    <col min="8" max="8" width="18.09765625" style="52" bestFit="1" customWidth="1"/>
    <col min="9" max="16384" width="10.5" style="52"/>
  </cols>
  <sheetData>
    <row r="1" spans="1:8" ht="28.8">
      <c r="A1" s="50" t="s">
        <v>49</v>
      </c>
      <c r="B1" s="51" t="s">
        <v>50</v>
      </c>
      <c r="C1" s="51" t="s">
        <v>46</v>
      </c>
      <c r="D1" s="51" t="s">
        <v>47</v>
      </c>
      <c r="E1" s="51" t="s">
        <v>51</v>
      </c>
      <c r="F1" s="50" t="s">
        <v>41</v>
      </c>
      <c r="G1" s="50" t="s">
        <v>52</v>
      </c>
      <c r="H1" s="51" t="s">
        <v>53</v>
      </c>
    </row>
    <row r="2" spans="1:8">
      <c r="A2" s="53" t="s">
        <v>54</v>
      </c>
      <c r="B2" s="53" t="s">
        <v>55</v>
      </c>
      <c r="C2" s="53">
        <v>4327059803</v>
      </c>
      <c r="D2" s="53" t="s">
        <v>56</v>
      </c>
      <c r="E2" s="53"/>
      <c r="F2" s="54">
        <v>1</v>
      </c>
      <c r="G2" s="53" t="s">
        <v>57</v>
      </c>
      <c r="H2" s="53" t="s">
        <v>58</v>
      </c>
    </row>
    <row r="3" spans="1:8">
      <c r="A3" s="55" t="s">
        <v>59</v>
      </c>
      <c r="B3" s="55" t="s">
        <v>60</v>
      </c>
      <c r="C3" s="56">
        <v>4326161703</v>
      </c>
      <c r="D3" s="55" t="s">
        <v>61</v>
      </c>
      <c r="E3" s="55"/>
      <c r="F3" s="57">
        <v>1</v>
      </c>
      <c r="G3" s="55" t="s">
        <v>57</v>
      </c>
      <c r="H3" s="55" t="s">
        <v>62</v>
      </c>
    </row>
    <row r="4" spans="1:8">
      <c r="A4" s="55" t="s">
        <v>59</v>
      </c>
      <c r="B4" s="55" t="s">
        <v>63</v>
      </c>
      <c r="C4" s="56">
        <v>4326153101</v>
      </c>
      <c r="D4" s="55" t="s">
        <v>64</v>
      </c>
      <c r="E4" s="55"/>
      <c r="F4" s="57">
        <v>2</v>
      </c>
      <c r="G4" s="55" t="s">
        <v>57</v>
      </c>
      <c r="H4" s="55" t="s">
        <v>62</v>
      </c>
    </row>
    <row r="5" spans="1:8">
      <c r="A5" s="55" t="s">
        <v>59</v>
      </c>
      <c r="B5" s="55" t="s">
        <v>65</v>
      </c>
      <c r="C5" s="58">
        <v>193801</v>
      </c>
      <c r="D5" s="55" t="s">
        <v>66</v>
      </c>
      <c r="E5" s="55"/>
      <c r="F5" s="57">
        <v>3</v>
      </c>
      <c r="G5" s="55" t="s">
        <v>57</v>
      </c>
      <c r="H5" s="55" t="s">
        <v>67</v>
      </c>
    </row>
    <row r="6" spans="1:8">
      <c r="A6" s="55" t="s">
        <v>59</v>
      </c>
      <c r="B6" s="55" t="s">
        <v>68</v>
      </c>
      <c r="C6" s="58">
        <v>179634</v>
      </c>
      <c r="D6" s="55" t="s">
        <v>69</v>
      </c>
      <c r="E6" s="55"/>
      <c r="F6" s="57">
        <v>7</v>
      </c>
      <c r="G6" s="55" t="s">
        <v>57</v>
      </c>
      <c r="H6" s="55" t="s">
        <v>67</v>
      </c>
    </row>
    <row r="7" spans="1:8">
      <c r="A7" s="55" t="s">
        <v>59</v>
      </c>
      <c r="B7" s="55" t="s">
        <v>70</v>
      </c>
      <c r="C7" s="58">
        <v>193803</v>
      </c>
      <c r="D7" s="55" t="s">
        <v>71</v>
      </c>
      <c r="E7" s="55"/>
      <c r="F7" s="57">
        <v>4</v>
      </c>
      <c r="G7" s="55" t="s">
        <v>57</v>
      </c>
      <c r="H7" s="55" t="s">
        <v>67</v>
      </c>
    </row>
    <row r="8" spans="1:8">
      <c r="A8" s="55" t="s">
        <v>59</v>
      </c>
      <c r="B8" s="55" t="s">
        <v>72</v>
      </c>
      <c r="C8" s="58">
        <v>4326493701</v>
      </c>
      <c r="D8" s="55" t="s">
        <v>73</v>
      </c>
      <c r="E8" s="55"/>
      <c r="F8" s="57">
        <v>4</v>
      </c>
      <c r="G8" s="55" t="s">
        <v>57</v>
      </c>
      <c r="H8" s="55" t="s">
        <v>67</v>
      </c>
    </row>
    <row r="9" spans="1:8">
      <c r="A9" s="55" t="s">
        <v>59</v>
      </c>
      <c r="B9" s="55" t="s">
        <v>74</v>
      </c>
      <c r="C9" s="58" t="s">
        <v>75</v>
      </c>
      <c r="D9" s="55" t="s">
        <v>76</v>
      </c>
      <c r="E9" s="55" t="s">
        <v>77</v>
      </c>
      <c r="F9" s="57">
        <v>4</v>
      </c>
      <c r="G9" s="55" t="s">
        <v>57</v>
      </c>
      <c r="H9" s="55" t="s">
        <v>67</v>
      </c>
    </row>
    <row r="10" spans="1:8">
      <c r="A10" s="53" t="s">
        <v>54</v>
      </c>
      <c r="B10" s="53" t="s">
        <v>78</v>
      </c>
      <c r="C10" s="53">
        <v>4327083503</v>
      </c>
      <c r="D10" s="53" t="s">
        <v>79</v>
      </c>
      <c r="E10" s="53"/>
      <c r="F10" s="54">
        <v>1</v>
      </c>
      <c r="G10" s="53" t="s">
        <v>57</v>
      </c>
      <c r="H10" s="53" t="s">
        <v>58</v>
      </c>
    </row>
    <row r="11" spans="1:8">
      <c r="A11" s="55" t="s">
        <v>59</v>
      </c>
      <c r="B11" s="55" t="s">
        <v>60</v>
      </c>
      <c r="C11" s="56">
        <v>4326300403</v>
      </c>
      <c r="D11" s="55" t="s">
        <v>80</v>
      </c>
      <c r="E11" s="55"/>
      <c r="F11" s="57">
        <v>1</v>
      </c>
      <c r="G11" s="55" t="s">
        <v>57</v>
      </c>
      <c r="H11" s="55" t="s">
        <v>62</v>
      </c>
    </row>
    <row r="12" spans="1:8">
      <c r="A12" s="55" t="s">
        <v>59</v>
      </c>
      <c r="B12" s="55" t="s">
        <v>63</v>
      </c>
      <c r="C12" s="56">
        <v>4326339601</v>
      </c>
      <c r="D12" s="55" t="s">
        <v>81</v>
      </c>
      <c r="E12" s="55"/>
      <c r="F12" s="57">
        <v>2</v>
      </c>
      <c r="G12" s="55" t="s">
        <v>57</v>
      </c>
      <c r="H12" s="55" t="s">
        <v>62</v>
      </c>
    </row>
    <row r="13" spans="1:8">
      <c r="A13" s="55" t="s">
        <v>59</v>
      </c>
      <c r="B13" s="55" t="s">
        <v>65</v>
      </c>
      <c r="C13" s="58">
        <v>193801</v>
      </c>
      <c r="D13" s="55" t="s">
        <v>66</v>
      </c>
      <c r="E13" s="55"/>
      <c r="F13" s="57">
        <v>4</v>
      </c>
      <c r="G13" s="55" t="s">
        <v>57</v>
      </c>
      <c r="H13" s="55" t="s">
        <v>67</v>
      </c>
    </row>
    <row r="14" spans="1:8">
      <c r="A14" s="55" t="s">
        <v>59</v>
      </c>
      <c r="B14" s="55" t="s">
        <v>68</v>
      </c>
      <c r="C14" s="58">
        <v>179634</v>
      </c>
      <c r="D14" s="55" t="s">
        <v>69</v>
      </c>
      <c r="E14" s="55"/>
      <c r="F14" s="57">
        <v>8</v>
      </c>
      <c r="G14" s="55" t="s">
        <v>57</v>
      </c>
      <c r="H14" s="55" t="s">
        <v>67</v>
      </c>
    </row>
    <row r="15" spans="1:8">
      <c r="A15" s="55" t="s">
        <v>59</v>
      </c>
      <c r="B15" s="55" t="s">
        <v>70</v>
      </c>
      <c r="C15" s="58">
        <v>193803</v>
      </c>
      <c r="D15" s="55" t="s">
        <v>71</v>
      </c>
      <c r="E15" s="55"/>
      <c r="F15" s="57">
        <v>4</v>
      </c>
      <c r="G15" s="55" t="s">
        <v>57</v>
      </c>
      <c r="H15" s="55" t="s">
        <v>67</v>
      </c>
    </row>
    <row r="16" spans="1:8">
      <c r="A16" s="55" t="s">
        <v>59</v>
      </c>
      <c r="B16" s="55" t="s">
        <v>72</v>
      </c>
      <c r="C16" s="58">
        <v>4326493701</v>
      </c>
      <c r="D16" s="55" t="s">
        <v>73</v>
      </c>
      <c r="E16" s="55"/>
      <c r="F16" s="57">
        <v>4</v>
      </c>
      <c r="G16" s="55" t="s">
        <v>57</v>
      </c>
      <c r="H16" s="55" t="s">
        <v>67</v>
      </c>
    </row>
    <row r="17" spans="1:8">
      <c r="A17" s="55" t="s">
        <v>59</v>
      </c>
      <c r="B17" s="55" t="s">
        <v>74</v>
      </c>
      <c r="C17" s="58" t="s">
        <v>75</v>
      </c>
      <c r="D17" s="55" t="s">
        <v>76</v>
      </c>
      <c r="E17" s="55"/>
      <c r="F17" s="57">
        <v>4</v>
      </c>
      <c r="G17" s="55" t="s">
        <v>57</v>
      </c>
      <c r="H17" s="55" t="s">
        <v>67</v>
      </c>
    </row>
    <row r="18" spans="1:8">
      <c r="A18" s="55" t="s">
        <v>59</v>
      </c>
      <c r="B18" s="55" t="s">
        <v>82</v>
      </c>
      <c r="C18" s="58">
        <v>4326322401</v>
      </c>
      <c r="D18" s="55" t="s">
        <v>83</v>
      </c>
      <c r="E18" s="55"/>
      <c r="F18" s="57">
        <v>1</v>
      </c>
      <c r="G18" s="55" t="s">
        <v>57</v>
      </c>
      <c r="H18" s="55" t="s">
        <v>67</v>
      </c>
    </row>
    <row r="19" spans="1:8">
      <c r="A19" s="55" t="s">
        <v>84</v>
      </c>
      <c r="B19" s="55" t="s">
        <v>60</v>
      </c>
      <c r="C19" s="56">
        <v>4326281201</v>
      </c>
      <c r="D19" s="55" t="s">
        <v>85</v>
      </c>
      <c r="E19" s="55"/>
      <c r="F19" s="57">
        <v>1</v>
      </c>
      <c r="G19" s="55" t="s">
        <v>57</v>
      </c>
      <c r="H19" s="55" t="s">
        <v>62</v>
      </c>
    </row>
    <row r="20" spans="1:8">
      <c r="A20" s="55" t="s">
        <v>84</v>
      </c>
      <c r="B20" s="55" t="s">
        <v>63</v>
      </c>
      <c r="C20" s="56">
        <v>4326283501</v>
      </c>
      <c r="D20" s="55" t="s">
        <v>86</v>
      </c>
      <c r="E20" s="55"/>
      <c r="F20" s="57">
        <v>2</v>
      </c>
      <c r="G20" s="55" t="s">
        <v>57</v>
      </c>
      <c r="H20" s="55" t="s">
        <v>62</v>
      </c>
    </row>
    <row r="21" spans="1:8">
      <c r="A21" s="55" t="s">
        <v>84</v>
      </c>
      <c r="B21" s="55" t="s">
        <v>65</v>
      </c>
      <c r="C21" s="58">
        <v>123819</v>
      </c>
      <c r="D21" s="55" t="s">
        <v>87</v>
      </c>
      <c r="E21" s="55"/>
      <c r="F21" s="57">
        <v>2</v>
      </c>
      <c r="G21" s="55" t="s">
        <v>57</v>
      </c>
      <c r="H21" s="55" t="s">
        <v>67</v>
      </c>
    </row>
    <row r="22" spans="1:8">
      <c r="A22" s="55" t="s">
        <v>84</v>
      </c>
      <c r="B22" s="55" t="s">
        <v>68</v>
      </c>
      <c r="C22" s="58">
        <v>193836</v>
      </c>
      <c r="D22" s="55" t="s">
        <v>88</v>
      </c>
      <c r="E22" s="55"/>
      <c r="F22" s="57">
        <v>2</v>
      </c>
      <c r="G22" s="55" t="s">
        <v>57</v>
      </c>
      <c r="H22" s="55" t="s">
        <v>67</v>
      </c>
    </row>
    <row r="23" spans="1:8">
      <c r="A23" s="55" t="s">
        <v>84</v>
      </c>
      <c r="B23" s="55" t="s">
        <v>70</v>
      </c>
      <c r="C23" s="58" t="s">
        <v>89</v>
      </c>
      <c r="D23" s="55" t="s">
        <v>90</v>
      </c>
      <c r="E23" s="55" t="s">
        <v>91</v>
      </c>
      <c r="F23" s="57">
        <v>2</v>
      </c>
      <c r="G23" s="55" t="s">
        <v>57</v>
      </c>
      <c r="H23" s="55" t="s">
        <v>67</v>
      </c>
    </row>
    <row r="24" spans="1:8">
      <c r="A24" s="55" t="s">
        <v>84</v>
      </c>
      <c r="B24" s="55" t="s">
        <v>72</v>
      </c>
      <c r="C24" s="58">
        <v>123836</v>
      </c>
      <c r="D24" s="55" t="s">
        <v>92</v>
      </c>
      <c r="E24" s="55"/>
      <c r="F24" s="57">
        <v>2</v>
      </c>
      <c r="G24" s="55" t="s">
        <v>57</v>
      </c>
      <c r="H24" s="55" t="s">
        <v>67</v>
      </c>
    </row>
    <row r="25" spans="1:8">
      <c r="A25" s="55" t="s">
        <v>84</v>
      </c>
      <c r="B25" s="55" t="s">
        <v>74</v>
      </c>
      <c r="C25" s="58">
        <v>188435</v>
      </c>
      <c r="D25" s="55" t="s">
        <v>93</v>
      </c>
      <c r="E25" s="55"/>
      <c r="F25" s="57">
        <v>2</v>
      </c>
      <c r="G25" s="55" t="s">
        <v>57</v>
      </c>
      <c r="H25" s="55" t="s">
        <v>67</v>
      </c>
    </row>
    <row r="26" spans="1:8">
      <c r="A26" s="53" t="s">
        <v>54</v>
      </c>
      <c r="B26" s="53" t="s">
        <v>94</v>
      </c>
      <c r="C26" s="53">
        <v>4327033201</v>
      </c>
      <c r="D26" s="53" t="s">
        <v>95</v>
      </c>
      <c r="E26" s="53"/>
      <c r="F26" s="54">
        <v>5</v>
      </c>
      <c r="G26" s="53" t="s">
        <v>57</v>
      </c>
      <c r="H26" s="53" t="s">
        <v>58</v>
      </c>
    </row>
    <row r="27" spans="1:8">
      <c r="A27" s="55" t="s">
        <v>59</v>
      </c>
      <c r="B27" s="55" t="s">
        <v>60</v>
      </c>
      <c r="C27" s="56">
        <v>4326335201</v>
      </c>
      <c r="D27" s="55" t="s">
        <v>96</v>
      </c>
      <c r="E27" s="55"/>
      <c r="F27" s="57">
        <v>5</v>
      </c>
      <c r="G27" s="55" t="s">
        <v>57</v>
      </c>
      <c r="H27" s="55" t="s">
        <v>62</v>
      </c>
    </row>
    <row r="28" spans="1:8">
      <c r="A28" s="55" t="s">
        <v>59</v>
      </c>
      <c r="B28" s="55" t="s">
        <v>63</v>
      </c>
      <c r="C28" s="58">
        <v>193814</v>
      </c>
      <c r="D28" s="55" t="s">
        <v>97</v>
      </c>
      <c r="E28" s="55"/>
      <c r="F28" s="57">
        <v>15</v>
      </c>
      <c r="G28" s="55" t="s">
        <v>57</v>
      </c>
      <c r="H28" s="55" t="s">
        <v>67</v>
      </c>
    </row>
    <row r="29" spans="1:8">
      <c r="A29" s="55" t="s">
        <v>59</v>
      </c>
      <c r="B29" s="55" t="s">
        <v>65</v>
      </c>
      <c r="C29" s="58">
        <v>114246</v>
      </c>
      <c r="D29" s="55" t="s">
        <v>98</v>
      </c>
      <c r="E29" s="55"/>
      <c r="F29" s="57">
        <v>15</v>
      </c>
      <c r="G29" s="55" t="s">
        <v>57</v>
      </c>
      <c r="H29" s="55" t="s">
        <v>67</v>
      </c>
    </row>
    <row r="30" spans="1:8">
      <c r="A30" s="53" t="s">
        <v>54</v>
      </c>
      <c r="B30" s="53" t="s">
        <v>99</v>
      </c>
      <c r="C30" s="53">
        <v>4322369101</v>
      </c>
      <c r="D30" s="53" t="s">
        <v>100</v>
      </c>
      <c r="E30" s="53"/>
      <c r="F30" s="54">
        <v>1</v>
      </c>
      <c r="G30" s="53" t="s">
        <v>57</v>
      </c>
      <c r="H30" s="53" t="s">
        <v>58</v>
      </c>
    </row>
    <row r="31" spans="1:8">
      <c r="A31" s="55" t="s">
        <v>59</v>
      </c>
      <c r="B31" s="55" t="s">
        <v>60</v>
      </c>
      <c r="C31" s="56">
        <v>4292669201</v>
      </c>
      <c r="D31" s="55" t="s">
        <v>101</v>
      </c>
      <c r="E31" s="55"/>
      <c r="F31" s="57">
        <v>4</v>
      </c>
      <c r="G31" s="55" t="s">
        <v>57</v>
      </c>
      <c r="H31" s="55" t="s">
        <v>62</v>
      </c>
    </row>
    <row r="32" spans="1:8">
      <c r="A32" s="55" t="s">
        <v>59</v>
      </c>
      <c r="B32" s="55" t="s">
        <v>63</v>
      </c>
      <c r="C32" s="58">
        <v>194131</v>
      </c>
      <c r="D32" s="55" t="s">
        <v>102</v>
      </c>
      <c r="E32" s="55"/>
      <c r="F32" s="57">
        <v>4</v>
      </c>
      <c r="G32" s="55" t="s">
        <v>57</v>
      </c>
      <c r="H32" s="55" t="s">
        <v>67</v>
      </c>
    </row>
    <row r="33" spans="1:8">
      <c r="A33" s="55" t="s">
        <v>59</v>
      </c>
      <c r="B33" s="55" t="s">
        <v>65</v>
      </c>
      <c r="C33" s="58">
        <v>4285817301</v>
      </c>
      <c r="D33" s="55" t="s">
        <v>103</v>
      </c>
      <c r="E33" s="55"/>
      <c r="F33" s="57">
        <v>4</v>
      </c>
      <c r="G33" s="55" t="s">
        <v>57</v>
      </c>
      <c r="H33" s="55" t="s">
        <v>67</v>
      </c>
    </row>
    <row r="34" spans="1:8">
      <c r="A34" s="55" t="s">
        <v>59</v>
      </c>
      <c r="B34" s="55" t="s">
        <v>68</v>
      </c>
      <c r="C34" s="58">
        <v>103738</v>
      </c>
      <c r="D34" s="55" t="s">
        <v>104</v>
      </c>
      <c r="E34" s="55"/>
      <c r="F34" s="57">
        <v>4</v>
      </c>
      <c r="G34" s="55" t="s">
        <v>57</v>
      </c>
      <c r="H34" s="55" t="s">
        <v>67</v>
      </c>
    </row>
    <row r="35" spans="1:8">
      <c r="A35" s="55" t="s">
        <v>59</v>
      </c>
      <c r="B35" s="55" t="s">
        <v>70</v>
      </c>
      <c r="C35" s="58">
        <v>114246</v>
      </c>
      <c r="D35" s="55" t="s">
        <v>98</v>
      </c>
      <c r="E35" s="55"/>
      <c r="F35" s="57">
        <v>4</v>
      </c>
      <c r="G35" s="55" t="s">
        <v>57</v>
      </c>
      <c r="H35" s="55" t="s">
        <v>67</v>
      </c>
    </row>
    <row r="36" spans="1:8">
      <c r="A36" s="55" t="s">
        <v>59</v>
      </c>
      <c r="B36" s="55" t="s">
        <v>72</v>
      </c>
      <c r="C36" s="58" t="s">
        <v>105</v>
      </c>
      <c r="D36" s="55" t="s">
        <v>106</v>
      </c>
      <c r="E36" s="122" t="s">
        <v>107</v>
      </c>
      <c r="F36" s="57">
        <v>8</v>
      </c>
      <c r="G36" s="55" t="s">
        <v>57</v>
      </c>
      <c r="H36" s="55" t="s">
        <v>67</v>
      </c>
    </row>
    <row r="37" spans="1:8">
      <c r="A37" s="53" t="s">
        <v>54</v>
      </c>
      <c r="B37" s="53" t="s">
        <v>108</v>
      </c>
      <c r="C37" s="53">
        <v>4353703501</v>
      </c>
      <c r="D37" s="53" t="s">
        <v>109</v>
      </c>
      <c r="E37" s="53"/>
      <c r="F37" s="54">
        <v>3</v>
      </c>
      <c r="G37" s="53" t="s">
        <v>57</v>
      </c>
      <c r="H37" s="53" t="s">
        <v>58</v>
      </c>
    </row>
    <row r="38" spans="1:8">
      <c r="A38" s="55" t="s">
        <v>59</v>
      </c>
      <c r="B38" s="55" t="s">
        <v>60</v>
      </c>
      <c r="C38" s="56">
        <v>4353702901</v>
      </c>
      <c r="D38" s="55" t="s">
        <v>110</v>
      </c>
      <c r="E38" s="55"/>
      <c r="F38" s="57">
        <v>3</v>
      </c>
      <c r="G38" s="55" t="s">
        <v>57</v>
      </c>
      <c r="H38" s="55" t="s">
        <v>62</v>
      </c>
    </row>
    <row r="39" spans="1:8">
      <c r="A39" s="55" t="s">
        <v>59</v>
      </c>
      <c r="B39" s="55" t="s">
        <v>63</v>
      </c>
      <c r="C39" s="58">
        <v>4326153101</v>
      </c>
      <c r="D39" s="55" t="s">
        <v>64</v>
      </c>
      <c r="E39" s="55"/>
      <c r="F39" s="57">
        <v>6</v>
      </c>
      <c r="G39" s="55" t="s">
        <v>57</v>
      </c>
      <c r="H39" s="55" t="s">
        <v>67</v>
      </c>
    </row>
    <row r="40" spans="1:8">
      <c r="A40" s="55" t="s">
        <v>59</v>
      </c>
      <c r="B40" s="55" t="s">
        <v>65</v>
      </c>
      <c r="C40" s="58">
        <v>193801</v>
      </c>
      <c r="D40" s="55" t="s">
        <v>66</v>
      </c>
      <c r="E40" s="55"/>
      <c r="F40" s="57">
        <v>9</v>
      </c>
      <c r="G40" s="55" t="s">
        <v>57</v>
      </c>
      <c r="H40" s="55" t="s">
        <v>67</v>
      </c>
    </row>
    <row r="41" spans="1:8">
      <c r="A41" s="55" t="s">
        <v>59</v>
      </c>
      <c r="B41" s="55" t="s">
        <v>68</v>
      </c>
      <c r="C41" s="58">
        <v>179634</v>
      </c>
      <c r="D41" s="55" t="s">
        <v>69</v>
      </c>
      <c r="E41" s="55"/>
      <c r="F41" s="57">
        <v>21</v>
      </c>
      <c r="G41" s="55" t="s">
        <v>57</v>
      </c>
      <c r="H41" s="55" t="s">
        <v>67</v>
      </c>
    </row>
    <row r="42" spans="1:8">
      <c r="A42" s="55" t="s">
        <v>59</v>
      </c>
      <c r="B42" s="55" t="s">
        <v>70</v>
      </c>
      <c r="C42" s="58">
        <v>193803</v>
      </c>
      <c r="D42" s="55" t="s">
        <v>71</v>
      </c>
      <c r="E42" s="55"/>
      <c r="F42" s="57">
        <v>12</v>
      </c>
      <c r="G42" s="55" t="s">
        <v>57</v>
      </c>
      <c r="H42" s="55" t="s">
        <v>67</v>
      </c>
    </row>
    <row r="43" spans="1:8">
      <c r="A43" s="55" t="s">
        <v>59</v>
      </c>
      <c r="B43" s="55" t="s">
        <v>72</v>
      </c>
      <c r="C43" s="58">
        <v>4326493701</v>
      </c>
      <c r="D43" s="55" t="s">
        <v>73</v>
      </c>
      <c r="E43" s="55"/>
      <c r="F43" s="57">
        <v>12</v>
      </c>
      <c r="G43" s="55" t="s">
        <v>57</v>
      </c>
      <c r="H43" s="55" t="s">
        <v>67</v>
      </c>
    </row>
    <row r="44" spans="1:8">
      <c r="A44" s="55" t="s">
        <v>59</v>
      </c>
      <c r="B44" s="55" t="s">
        <v>74</v>
      </c>
      <c r="C44" s="58" t="s">
        <v>75</v>
      </c>
      <c r="D44" s="55" t="s">
        <v>76</v>
      </c>
      <c r="E44" s="55"/>
      <c r="F44" s="57">
        <v>12</v>
      </c>
      <c r="G44" s="55" t="s">
        <v>57</v>
      </c>
      <c r="H44" s="55" t="s">
        <v>67</v>
      </c>
    </row>
    <row r="45" spans="1:8">
      <c r="A45" s="53" t="s">
        <v>54</v>
      </c>
      <c r="B45" s="53" t="s">
        <v>111</v>
      </c>
      <c r="C45" s="123">
        <v>4332033801</v>
      </c>
      <c r="D45" s="53" t="s">
        <v>56</v>
      </c>
      <c r="E45" s="53"/>
      <c r="F45" s="74">
        <v>1</v>
      </c>
      <c r="G45" s="53" t="s">
        <v>57</v>
      </c>
      <c r="H45" s="53" t="s">
        <v>58</v>
      </c>
    </row>
    <row r="46" spans="1:8">
      <c r="A46" s="55" t="s">
        <v>59</v>
      </c>
      <c r="B46" s="55" t="s">
        <v>60</v>
      </c>
      <c r="C46" s="56">
        <v>4332033201</v>
      </c>
      <c r="D46" s="55" t="s">
        <v>61</v>
      </c>
      <c r="E46" s="55"/>
      <c r="F46" s="75">
        <v>1</v>
      </c>
      <c r="G46" s="55" t="s">
        <v>57</v>
      </c>
      <c r="H46" s="55" t="s">
        <v>62</v>
      </c>
    </row>
    <row r="47" spans="1:8">
      <c r="A47" s="55" t="s">
        <v>59</v>
      </c>
      <c r="B47" s="55" t="s">
        <v>63</v>
      </c>
      <c r="C47" s="58">
        <v>4326153101</v>
      </c>
      <c r="D47" s="55" t="s">
        <v>64</v>
      </c>
      <c r="E47" s="55"/>
      <c r="F47" s="75">
        <v>2</v>
      </c>
      <c r="G47" s="55" t="s">
        <v>57</v>
      </c>
      <c r="H47" s="55" t="s">
        <v>67</v>
      </c>
    </row>
    <row r="48" spans="1:8">
      <c r="A48" s="55" t="s">
        <v>59</v>
      </c>
      <c r="B48" s="55" t="s">
        <v>65</v>
      </c>
      <c r="C48" s="58">
        <v>193801</v>
      </c>
      <c r="D48" s="55" t="s">
        <v>66</v>
      </c>
      <c r="E48" s="55"/>
      <c r="F48" s="75">
        <v>3</v>
      </c>
      <c r="G48" s="55" t="s">
        <v>57</v>
      </c>
      <c r="H48" s="55" t="s">
        <v>67</v>
      </c>
    </row>
    <row r="49" spans="1:8">
      <c r="A49" s="55" t="s">
        <v>59</v>
      </c>
      <c r="B49" s="55" t="s">
        <v>68</v>
      </c>
      <c r="C49" s="58">
        <v>179634</v>
      </c>
      <c r="D49" s="55" t="s">
        <v>69</v>
      </c>
      <c r="E49" s="55"/>
      <c r="F49" s="75">
        <v>7</v>
      </c>
      <c r="G49" s="55" t="s">
        <v>57</v>
      </c>
      <c r="H49" s="55" t="s">
        <v>67</v>
      </c>
    </row>
    <row r="50" spans="1:8">
      <c r="A50" s="55" t="s">
        <v>59</v>
      </c>
      <c r="B50" s="55" t="s">
        <v>70</v>
      </c>
      <c r="C50" s="58">
        <v>193803</v>
      </c>
      <c r="D50" s="55" t="s">
        <v>71</v>
      </c>
      <c r="E50" s="55"/>
      <c r="F50" s="75">
        <v>4</v>
      </c>
      <c r="G50" s="55" t="s">
        <v>57</v>
      </c>
      <c r="H50" s="55" t="s">
        <v>67</v>
      </c>
    </row>
    <row r="51" spans="1:8">
      <c r="A51" s="55" t="s">
        <v>59</v>
      </c>
      <c r="B51" s="55" t="s">
        <v>72</v>
      </c>
      <c r="C51" s="58">
        <v>4326493701</v>
      </c>
      <c r="D51" s="55" t="s">
        <v>73</v>
      </c>
      <c r="E51" s="55"/>
      <c r="F51" s="75">
        <v>4</v>
      </c>
      <c r="G51" s="55" t="s">
        <v>57</v>
      </c>
      <c r="H51" s="55" t="s">
        <v>67</v>
      </c>
    </row>
    <row r="52" spans="1:8">
      <c r="A52" s="55" t="s">
        <v>59</v>
      </c>
      <c r="B52" s="55" t="s">
        <v>74</v>
      </c>
      <c r="C52" s="58" t="s">
        <v>75</v>
      </c>
      <c r="D52" s="55" t="s">
        <v>76</v>
      </c>
      <c r="E52" s="55"/>
      <c r="F52" s="75">
        <v>4</v>
      </c>
      <c r="G52" s="55" t="s">
        <v>57</v>
      </c>
      <c r="H52" s="55" t="s">
        <v>67</v>
      </c>
    </row>
    <row r="58" spans="1:8">
      <c r="C58" s="59"/>
    </row>
    <row r="59" spans="1:8">
      <c r="C59" s="59"/>
    </row>
    <row r="60" spans="1:8">
      <c r="C60" s="59"/>
    </row>
    <row r="61" spans="1:8">
      <c r="C61" s="59"/>
    </row>
    <row r="62" spans="1:8">
      <c r="C62" s="59"/>
    </row>
    <row r="63" spans="1:8">
      <c r="C63" s="59"/>
    </row>
    <row r="64" spans="1:8">
      <c r="C64" s="59"/>
    </row>
    <row r="65" spans="3:3">
      <c r="C65" s="59"/>
    </row>
    <row r="66" spans="3:3">
      <c r="C66" s="59"/>
    </row>
    <row r="67" spans="3:3">
      <c r="C67" s="59"/>
    </row>
    <row r="68" spans="3:3">
      <c r="C68" s="59"/>
    </row>
    <row r="69" spans="3:3">
      <c r="C69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3"/>
  <sheetViews>
    <sheetView zoomScale="96" zoomScaleNormal="96" workbookViewId="0">
      <selection activeCell="U12" sqref="U12:V13"/>
    </sheetView>
  </sheetViews>
  <sheetFormatPr defaultRowHeight="14.4"/>
  <cols>
    <col min="1" max="1" width="3.69921875" customWidth="1"/>
    <col min="2" max="2" width="13.69921875" bestFit="1" customWidth="1"/>
    <col min="3" max="3" width="36.19921875" bestFit="1" customWidth="1"/>
    <col min="5" max="6" width="4.69921875" bestFit="1" customWidth="1"/>
    <col min="7" max="7" width="3.69921875" bestFit="1" customWidth="1"/>
    <col min="9" max="9" width="7.69921875" bestFit="1" customWidth="1"/>
    <col min="10" max="10" width="7.59765625" bestFit="1" customWidth="1"/>
    <col min="11" max="11" width="8.3984375" bestFit="1" customWidth="1"/>
    <col min="12" max="12" width="5.8984375" bestFit="1" customWidth="1"/>
    <col min="13" max="13" width="7.09765625" bestFit="1" customWidth="1"/>
    <col min="14" max="14" width="6.69921875" bestFit="1" customWidth="1"/>
    <col min="17" max="17" width="7.3984375" bestFit="1" customWidth="1"/>
    <col min="18" max="19" width="6.19921875" bestFit="1" customWidth="1"/>
    <col min="20" max="20" width="4" bestFit="1" customWidth="1"/>
    <col min="21" max="21" width="9.19921875" bestFit="1" customWidth="1"/>
    <col min="22" max="22" width="6.69921875" bestFit="1" customWidth="1"/>
  </cols>
  <sheetData>
    <row r="2" spans="1:22" ht="38.25">
      <c r="A2" s="70" t="s">
        <v>112</v>
      </c>
      <c r="B2" s="4" t="s">
        <v>113</v>
      </c>
      <c r="C2" s="4" t="s">
        <v>14</v>
      </c>
      <c r="D2" s="4" t="s">
        <v>29</v>
      </c>
      <c r="E2" s="172" t="s">
        <v>30</v>
      </c>
      <c r="F2" s="172"/>
      <c r="G2" s="172"/>
      <c r="H2" s="3" t="s">
        <v>31</v>
      </c>
      <c r="I2" s="6" t="s">
        <v>32</v>
      </c>
      <c r="J2" s="2" t="s">
        <v>33</v>
      </c>
      <c r="K2" s="2" t="s">
        <v>34</v>
      </c>
      <c r="L2" s="2" t="s">
        <v>35</v>
      </c>
      <c r="M2" s="3" t="s">
        <v>36</v>
      </c>
      <c r="N2" s="3" t="s">
        <v>37</v>
      </c>
      <c r="O2" s="3" t="s">
        <v>38</v>
      </c>
      <c r="P2" s="2" t="s">
        <v>44</v>
      </c>
      <c r="Q2" s="30" t="s">
        <v>43</v>
      </c>
      <c r="R2" s="3" t="s">
        <v>39</v>
      </c>
      <c r="S2" s="2" t="s">
        <v>40</v>
      </c>
      <c r="T2" s="2" t="s">
        <v>41</v>
      </c>
      <c r="U2" s="3" t="s">
        <v>42</v>
      </c>
      <c r="V2" s="30" t="s">
        <v>45</v>
      </c>
    </row>
    <row r="3" spans="1:22">
      <c r="A3" s="68">
        <v>1</v>
      </c>
      <c r="B3" s="65">
        <v>4327059803</v>
      </c>
      <c r="C3" s="65" t="s">
        <v>56</v>
      </c>
      <c r="D3" s="63"/>
      <c r="E3" s="33">
        <v>0</v>
      </c>
      <c r="F3" s="33">
        <v>0</v>
      </c>
      <c r="G3" s="33">
        <v>0</v>
      </c>
      <c r="H3" s="5">
        <f t="shared" ref="H3:H4" si="0">+E3*F3*G3*8.55/1000000</f>
        <v>0</v>
      </c>
      <c r="I3" s="7">
        <f t="shared" ref="I3" si="1">H3*320</f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f>H3*30</f>
        <v>0</v>
      </c>
      <c r="S3" s="69">
        <f>SUM(I3:R3)*20%</f>
        <v>0</v>
      </c>
      <c r="T3" s="74">
        <v>1</v>
      </c>
      <c r="U3" s="31">
        <f t="shared" ref="U3" si="2">+SUM(I3:S3)</f>
        <v>0</v>
      </c>
      <c r="V3" s="32">
        <f t="shared" ref="V3:V5" si="3">U3*T3</f>
        <v>0</v>
      </c>
    </row>
    <row r="4" spans="1:22" s="41" customFormat="1">
      <c r="A4" s="66">
        <v>2</v>
      </c>
      <c r="B4" s="66">
        <v>4326161703</v>
      </c>
      <c r="C4" s="71" t="s">
        <v>61</v>
      </c>
      <c r="D4" s="34"/>
      <c r="E4" s="35">
        <v>0</v>
      </c>
      <c r="F4" s="35">
        <v>0</v>
      </c>
      <c r="G4" s="35">
        <v>0</v>
      </c>
      <c r="H4" s="36">
        <f t="shared" si="0"/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7">
        <f t="shared" ref="R4:R10" si="4">H4*30</f>
        <v>0</v>
      </c>
      <c r="S4" s="38">
        <f t="shared" ref="S4:S5" si="5">SUM(I4:R4)*20%</f>
        <v>0</v>
      </c>
      <c r="T4" s="75">
        <v>1</v>
      </c>
      <c r="U4" s="39">
        <v>24884</v>
      </c>
      <c r="V4" s="40">
        <f t="shared" si="3"/>
        <v>24884</v>
      </c>
    </row>
    <row r="5" spans="1:22" s="41" customFormat="1">
      <c r="A5" s="66">
        <v>3</v>
      </c>
      <c r="B5" s="66">
        <v>4326153101</v>
      </c>
      <c r="C5" s="71" t="s">
        <v>64</v>
      </c>
      <c r="D5" s="34"/>
      <c r="E5" s="35">
        <v>0</v>
      </c>
      <c r="F5" s="35">
        <v>0</v>
      </c>
      <c r="G5" s="35">
        <v>0</v>
      </c>
      <c r="H5" s="36">
        <f t="shared" ref="H5:H10" si="6">+E5*F5*G5*8.55/1000000</f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7">
        <f t="shared" si="4"/>
        <v>0</v>
      </c>
      <c r="S5" s="38">
        <f t="shared" si="5"/>
        <v>0</v>
      </c>
      <c r="T5" s="75">
        <v>2</v>
      </c>
      <c r="U5" s="39">
        <v>4462</v>
      </c>
      <c r="V5" s="40">
        <f t="shared" si="3"/>
        <v>8924</v>
      </c>
    </row>
    <row r="6" spans="1:22" s="49" customFormat="1">
      <c r="A6" s="72">
        <v>4</v>
      </c>
      <c r="B6" s="72">
        <v>193801</v>
      </c>
      <c r="C6" s="73" t="s">
        <v>66</v>
      </c>
      <c r="D6" s="42"/>
      <c r="E6" s="43">
        <v>0</v>
      </c>
      <c r="F6" s="43">
        <v>0</v>
      </c>
      <c r="G6" s="43">
        <v>0</v>
      </c>
      <c r="H6" s="44">
        <f t="shared" si="6"/>
        <v>0</v>
      </c>
      <c r="I6" s="45">
        <v>30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f t="shared" si="4"/>
        <v>0</v>
      </c>
      <c r="S6" s="46">
        <f t="shared" ref="S6:S10" si="7">SUM(I6:R6)*20%</f>
        <v>6</v>
      </c>
      <c r="T6" s="75">
        <v>3</v>
      </c>
      <c r="U6" s="47">
        <f t="shared" ref="U6:U10" si="8">+SUM(I6:S6)</f>
        <v>36</v>
      </c>
      <c r="V6" s="48">
        <f t="shared" ref="V6:V10" si="9">U6*T6</f>
        <v>108</v>
      </c>
    </row>
    <row r="7" spans="1:22" s="49" customFormat="1">
      <c r="A7" s="72">
        <v>5</v>
      </c>
      <c r="B7" s="72">
        <v>179634</v>
      </c>
      <c r="C7" s="73" t="s">
        <v>69</v>
      </c>
      <c r="D7" s="42"/>
      <c r="E7" s="43">
        <v>0</v>
      </c>
      <c r="F7" s="43">
        <v>0</v>
      </c>
      <c r="G7" s="43">
        <v>0</v>
      </c>
      <c r="H7" s="44">
        <f t="shared" si="6"/>
        <v>0</v>
      </c>
      <c r="I7" s="45">
        <v>10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f t="shared" si="4"/>
        <v>0</v>
      </c>
      <c r="S7" s="46">
        <f t="shared" si="7"/>
        <v>2</v>
      </c>
      <c r="T7" s="75">
        <v>7</v>
      </c>
      <c r="U7" s="47">
        <f t="shared" si="8"/>
        <v>12</v>
      </c>
      <c r="V7" s="48">
        <f t="shared" si="9"/>
        <v>84</v>
      </c>
    </row>
    <row r="8" spans="1:22" s="49" customFormat="1">
      <c r="A8" s="72">
        <v>6</v>
      </c>
      <c r="B8" s="72">
        <v>193803</v>
      </c>
      <c r="C8" s="73" t="s">
        <v>71</v>
      </c>
      <c r="D8" s="42"/>
      <c r="E8" s="43">
        <v>0</v>
      </c>
      <c r="F8" s="43">
        <v>0</v>
      </c>
      <c r="G8" s="43">
        <v>0</v>
      </c>
      <c r="H8" s="44">
        <f t="shared" si="6"/>
        <v>0</v>
      </c>
      <c r="I8" s="45">
        <v>30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f t="shared" si="4"/>
        <v>0</v>
      </c>
      <c r="S8" s="46">
        <f t="shared" si="7"/>
        <v>6</v>
      </c>
      <c r="T8" s="75">
        <v>4</v>
      </c>
      <c r="U8" s="47">
        <f t="shared" si="8"/>
        <v>36</v>
      </c>
      <c r="V8" s="48">
        <f t="shared" si="9"/>
        <v>144</v>
      </c>
    </row>
    <row r="9" spans="1:22">
      <c r="A9" s="68">
        <v>7</v>
      </c>
      <c r="B9" s="68">
        <v>4326493701</v>
      </c>
      <c r="C9" s="67" t="s">
        <v>73</v>
      </c>
      <c r="D9" s="63"/>
      <c r="E9" s="33">
        <v>0</v>
      </c>
      <c r="F9" s="33">
        <v>0</v>
      </c>
      <c r="G9" s="33">
        <v>0</v>
      </c>
      <c r="H9" s="5">
        <f t="shared" si="6"/>
        <v>0</v>
      </c>
      <c r="I9" s="7">
        <f t="shared" ref="I9" si="10">H9*320</f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f t="shared" si="4"/>
        <v>0</v>
      </c>
      <c r="S9" s="69">
        <f t="shared" si="7"/>
        <v>0</v>
      </c>
      <c r="T9" s="75">
        <v>4</v>
      </c>
      <c r="U9" s="31">
        <v>200</v>
      </c>
      <c r="V9" s="32">
        <f t="shared" si="9"/>
        <v>800</v>
      </c>
    </row>
    <row r="10" spans="1:22">
      <c r="A10" s="68">
        <v>8</v>
      </c>
      <c r="B10" s="68" t="s">
        <v>75</v>
      </c>
      <c r="C10" s="67" t="s">
        <v>76</v>
      </c>
      <c r="D10" s="63"/>
      <c r="E10" s="33">
        <v>0</v>
      </c>
      <c r="F10" s="33">
        <v>0</v>
      </c>
      <c r="G10" s="33">
        <v>0</v>
      </c>
      <c r="H10" s="5">
        <f t="shared" si="6"/>
        <v>0</v>
      </c>
      <c r="I10" s="7">
        <v>16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f t="shared" si="4"/>
        <v>0</v>
      </c>
      <c r="S10" s="69">
        <f t="shared" si="7"/>
        <v>3.2</v>
      </c>
      <c r="T10" s="75">
        <v>4</v>
      </c>
      <c r="U10" s="31">
        <f t="shared" si="8"/>
        <v>19.2</v>
      </c>
      <c r="V10" s="32">
        <f t="shared" si="9"/>
        <v>76.8</v>
      </c>
    </row>
    <row r="11" spans="1:22">
      <c r="V11" s="32">
        <f>SUM(V3:V10)</f>
        <v>35020.800000000003</v>
      </c>
    </row>
    <row r="12" spans="1:22">
      <c r="U12" s="126" t="s">
        <v>116</v>
      </c>
      <c r="V12" s="127">
        <f>V11*5%</f>
        <v>1751.0400000000002</v>
      </c>
    </row>
    <row r="13" spans="1:22" ht="14.95">
      <c r="U13" s="128" t="s">
        <v>19</v>
      </c>
      <c r="V13" s="32">
        <f>SUM(V11:V12)</f>
        <v>36771.840000000004</v>
      </c>
    </row>
  </sheetData>
  <mergeCells count="1">
    <mergeCell ref="E2:G2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21"/>
  <sheetViews>
    <sheetView zoomScale="88" zoomScaleNormal="88" workbookViewId="0">
      <selection activeCell="U20" sqref="U20:V21"/>
    </sheetView>
  </sheetViews>
  <sheetFormatPr defaultColWidth="8.69921875" defaultRowHeight="13.3"/>
  <cols>
    <col min="1" max="1" width="3.19921875" style="83" customWidth="1"/>
    <col min="2" max="2" width="12.8984375" style="83" bestFit="1" customWidth="1"/>
    <col min="3" max="3" width="32.09765625" style="83" bestFit="1" customWidth="1"/>
    <col min="4" max="4" width="7.69921875" style="83" bestFit="1" customWidth="1"/>
    <col min="5" max="7" width="5.5" style="83" customWidth="1"/>
    <col min="8" max="19" width="8.69921875" style="83"/>
    <col min="20" max="20" width="3.59765625" style="83" bestFit="1" customWidth="1"/>
    <col min="21" max="16384" width="8.69921875" style="83"/>
  </cols>
  <sheetData>
    <row r="2" spans="1:23" ht="38.25">
      <c r="A2" s="30" t="s">
        <v>112</v>
      </c>
      <c r="B2" s="60" t="s">
        <v>113</v>
      </c>
      <c r="C2" s="60" t="s">
        <v>14</v>
      </c>
      <c r="D2" s="60" t="s">
        <v>29</v>
      </c>
      <c r="E2" s="173" t="s">
        <v>30</v>
      </c>
      <c r="F2" s="173"/>
      <c r="G2" s="173"/>
      <c r="H2" s="81" t="s">
        <v>31</v>
      </c>
      <c r="I2" s="82" t="s">
        <v>32</v>
      </c>
      <c r="J2" s="30" t="s">
        <v>33</v>
      </c>
      <c r="K2" s="30" t="s">
        <v>34</v>
      </c>
      <c r="L2" s="30" t="s">
        <v>35</v>
      </c>
      <c r="M2" s="81" t="s">
        <v>36</v>
      </c>
      <c r="N2" s="81" t="s">
        <v>37</v>
      </c>
      <c r="O2" s="81" t="s">
        <v>38</v>
      </c>
      <c r="P2" s="30" t="s">
        <v>44</v>
      </c>
      <c r="Q2" s="30" t="s">
        <v>43</v>
      </c>
      <c r="R2" s="81" t="s">
        <v>39</v>
      </c>
      <c r="S2" s="30" t="s">
        <v>40</v>
      </c>
      <c r="T2" s="30" t="s">
        <v>41</v>
      </c>
      <c r="U2" s="81" t="s">
        <v>42</v>
      </c>
      <c r="V2" s="30" t="s">
        <v>45</v>
      </c>
    </row>
    <row r="3" spans="1:23" ht="14.4">
      <c r="A3" s="76">
        <v>1</v>
      </c>
      <c r="B3" s="77">
        <v>4327083503</v>
      </c>
      <c r="C3" s="77" t="s">
        <v>79</v>
      </c>
      <c r="D3" s="63"/>
      <c r="E3" s="84">
        <v>0</v>
      </c>
      <c r="F3" s="84">
        <v>0</v>
      </c>
      <c r="G3" s="84">
        <v>0</v>
      </c>
      <c r="H3" s="85">
        <f t="shared" ref="H3:H10" si="0">+E3*F3*G3*8.55/1000000</f>
        <v>0</v>
      </c>
      <c r="I3" s="86">
        <f t="shared" ref="I3" si="1">H3*320</f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f>H3*30</f>
        <v>0</v>
      </c>
      <c r="S3" s="87">
        <f>SUM(I3:R3)*20%</f>
        <v>0</v>
      </c>
      <c r="T3" s="74">
        <v>1</v>
      </c>
      <c r="U3" s="87">
        <f t="shared" ref="U3" si="2">+SUM(I3:S3)</f>
        <v>0</v>
      </c>
      <c r="V3" s="87">
        <f t="shared" ref="V3:V10" si="3">U3*T3</f>
        <v>0</v>
      </c>
    </row>
    <row r="4" spans="1:23" ht="14.4">
      <c r="A4" s="94">
        <v>2</v>
      </c>
      <c r="B4" s="78">
        <v>4326300403</v>
      </c>
      <c r="C4" s="93" t="s">
        <v>80</v>
      </c>
      <c r="D4" s="34"/>
      <c r="E4" s="88">
        <v>0</v>
      </c>
      <c r="F4" s="88">
        <v>0</v>
      </c>
      <c r="G4" s="88">
        <v>0</v>
      </c>
      <c r="H4" s="89">
        <f t="shared" si="0"/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  <c r="P4" s="90">
        <v>0</v>
      </c>
      <c r="Q4" s="90">
        <v>0</v>
      </c>
      <c r="R4" s="90">
        <f t="shared" ref="R4:R10" si="4">H4*30</f>
        <v>0</v>
      </c>
      <c r="S4" s="91">
        <f t="shared" ref="S4:S10" si="5">SUM(I4:R4)*20%</f>
        <v>0</v>
      </c>
      <c r="T4" s="75">
        <v>1</v>
      </c>
      <c r="U4" s="91">
        <v>48841</v>
      </c>
      <c r="V4" s="91">
        <f t="shared" si="3"/>
        <v>48841</v>
      </c>
    </row>
    <row r="5" spans="1:23" ht="14.4">
      <c r="A5" s="94">
        <v>3</v>
      </c>
      <c r="B5" s="78">
        <v>4326339601</v>
      </c>
      <c r="C5" s="93" t="s">
        <v>81</v>
      </c>
      <c r="D5" s="34"/>
      <c r="E5" s="88">
        <v>0</v>
      </c>
      <c r="F5" s="88">
        <v>0</v>
      </c>
      <c r="G5" s="88">
        <v>0</v>
      </c>
      <c r="H5" s="89">
        <f t="shared" si="0"/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 s="90">
        <f t="shared" si="4"/>
        <v>0</v>
      </c>
      <c r="S5" s="91">
        <f t="shared" si="5"/>
        <v>0</v>
      </c>
      <c r="T5" s="75">
        <v>2</v>
      </c>
      <c r="U5" s="91">
        <v>5427</v>
      </c>
      <c r="V5" s="91">
        <f>U5*T5</f>
        <v>10854</v>
      </c>
    </row>
    <row r="6" spans="1:23" ht="14.4">
      <c r="A6" s="96">
        <v>4</v>
      </c>
      <c r="B6" s="97">
        <v>193801</v>
      </c>
      <c r="C6" s="98" t="s">
        <v>66</v>
      </c>
      <c r="D6" s="99"/>
      <c r="E6" s="100">
        <v>0</v>
      </c>
      <c r="F6" s="100">
        <v>0</v>
      </c>
      <c r="G6" s="100">
        <v>0</v>
      </c>
      <c r="H6" s="101">
        <f t="shared" si="0"/>
        <v>0</v>
      </c>
      <c r="I6" s="102">
        <v>30</v>
      </c>
      <c r="J6" s="102">
        <v>0</v>
      </c>
      <c r="K6" s="102">
        <v>0</v>
      </c>
      <c r="L6" s="102">
        <v>0</v>
      </c>
      <c r="M6" s="102">
        <v>0</v>
      </c>
      <c r="N6" s="102">
        <v>0</v>
      </c>
      <c r="O6" s="102">
        <v>0</v>
      </c>
      <c r="P6" s="102">
        <v>0</v>
      </c>
      <c r="Q6" s="102">
        <v>0</v>
      </c>
      <c r="R6" s="102">
        <f t="shared" si="4"/>
        <v>0</v>
      </c>
      <c r="S6" s="103">
        <f t="shared" si="5"/>
        <v>6</v>
      </c>
      <c r="T6" s="75">
        <v>4</v>
      </c>
      <c r="U6" s="103">
        <f t="shared" ref="U6:U10" si="6">+SUM(I6:S6)</f>
        <v>36</v>
      </c>
      <c r="V6" s="103">
        <f t="shared" si="3"/>
        <v>144</v>
      </c>
    </row>
    <row r="7" spans="1:23" ht="14.4">
      <c r="A7" s="96">
        <v>5</v>
      </c>
      <c r="B7" s="97">
        <v>179634</v>
      </c>
      <c r="C7" s="98" t="s">
        <v>69</v>
      </c>
      <c r="D7" s="99"/>
      <c r="E7" s="100">
        <v>0</v>
      </c>
      <c r="F7" s="100">
        <v>0</v>
      </c>
      <c r="G7" s="100">
        <v>0</v>
      </c>
      <c r="H7" s="101">
        <f t="shared" si="0"/>
        <v>0</v>
      </c>
      <c r="I7" s="102">
        <v>12</v>
      </c>
      <c r="J7" s="102">
        <v>0</v>
      </c>
      <c r="K7" s="102">
        <v>0</v>
      </c>
      <c r="L7" s="102">
        <v>0</v>
      </c>
      <c r="M7" s="102">
        <v>0</v>
      </c>
      <c r="N7" s="102">
        <v>0</v>
      </c>
      <c r="O7" s="102">
        <v>0</v>
      </c>
      <c r="P7" s="102">
        <v>0</v>
      </c>
      <c r="Q7" s="102">
        <v>0</v>
      </c>
      <c r="R7" s="102">
        <f t="shared" si="4"/>
        <v>0</v>
      </c>
      <c r="S7" s="103">
        <f t="shared" si="5"/>
        <v>2.4000000000000004</v>
      </c>
      <c r="T7" s="75">
        <v>8</v>
      </c>
      <c r="U7" s="103">
        <f t="shared" si="6"/>
        <v>14.4</v>
      </c>
      <c r="V7" s="103">
        <f t="shared" si="3"/>
        <v>115.2</v>
      </c>
    </row>
    <row r="8" spans="1:23" ht="14.4">
      <c r="A8" s="96">
        <v>6</v>
      </c>
      <c r="B8" s="97">
        <v>193803</v>
      </c>
      <c r="C8" s="98" t="s">
        <v>71</v>
      </c>
      <c r="D8" s="99"/>
      <c r="E8" s="100">
        <v>0</v>
      </c>
      <c r="F8" s="100">
        <v>0</v>
      </c>
      <c r="G8" s="100">
        <v>0</v>
      </c>
      <c r="H8" s="101">
        <f t="shared" si="0"/>
        <v>0</v>
      </c>
      <c r="I8" s="102">
        <v>30</v>
      </c>
      <c r="J8" s="102">
        <v>0</v>
      </c>
      <c r="K8" s="102">
        <v>0</v>
      </c>
      <c r="L8" s="102">
        <v>0</v>
      </c>
      <c r="M8" s="102">
        <v>0</v>
      </c>
      <c r="N8" s="102">
        <v>0</v>
      </c>
      <c r="O8" s="102">
        <v>0</v>
      </c>
      <c r="P8" s="102">
        <v>0</v>
      </c>
      <c r="Q8" s="102">
        <v>0</v>
      </c>
      <c r="R8" s="102">
        <f t="shared" si="4"/>
        <v>0</v>
      </c>
      <c r="S8" s="103">
        <f t="shared" si="5"/>
        <v>6</v>
      </c>
      <c r="T8" s="75">
        <v>4</v>
      </c>
      <c r="U8" s="103">
        <f t="shared" si="6"/>
        <v>36</v>
      </c>
      <c r="V8" s="103">
        <f t="shared" si="3"/>
        <v>144</v>
      </c>
    </row>
    <row r="9" spans="1:23" ht="14.4">
      <c r="A9" s="96">
        <v>7</v>
      </c>
      <c r="B9" s="97">
        <v>4326493701</v>
      </c>
      <c r="C9" s="98" t="s">
        <v>73</v>
      </c>
      <c r="D9" s="99"/>
      <c r="E9" s="100">
        <v>0</v>
      </c>
      <c r="F9" s="100">
        <v>0</v>
      </c>
      <c r="G9" s="100">
        <v>0</v>
      </c>
      <c r="H9" s="101">
        <f t="shared" si="0"/>
        <v>0</v>
      </c>
      <c r="I9" s="102">
        <f t="shared" ref="I9" si="7">H9*320</f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f t="shared" si="4"/>
        <v>0</v>
      </c>
      <c r="S9" s="103">
        <f t="shared" si="5"/>
        <v>0</v>
      </c>
      <c r="T9" s="75">
        <v>4</v>
      </c>
      <c r="U9" s="103">
        <v>200</v>
      </c>
      <c r="V9" s="103">
        <f t="shared" si="3"/>
        <v>800</v>
      </c>
    </row>
    <row r="10" spans="1:23" ht="14.4">
      <c r="A10" s="76">
        <v>8</v>
      </c>
      <c r="B10" s="80" t="s">
        <v>75</v>
      </c>
      <c r="C10" s="79" t="s">
        <v>76</v>
      </c>
      <c r="D10" s="63"/>
      <c r="E10" s="84">
        <v>0</v>
      </c>
      <c r="F10" s="84">
        <v>0</v>
      </c>
      <c r="G10" s="84">
        <v>0</v>
      </c>
      <c r="H10" s="85">
        <f t="shared" si="0"/>
        <v>0</v>
      </c>
      <c r="I10" s="86">
        <v>16</v>
      </c>
      <c r="J10" s="86">
        <v>0</v>
      </c>
      <c r="K10" s="86">
        <v>0</v>
      </c>
      <c r="L10" s="86">
        <v>0</v>
      </c>
      <c r="M10" s="86">
        <v>0</v>
      </c>
      <c r="N10" s="86">
        <v>0</v>
      </c>
      <c r="O10" s="86">
        <v>0</v>
      </c>
      <c r="P10" s="86">
        <v>0</v>
      </c>
      <c r="Q10" s="86">
        <v>0</v>
      </c>
      <c r="R10" s="86">
        <f t="shared" si="4"/>
        <v>0</v>
      </c>
      <c r="S10" s="87">
        <f t="shared" si="5"/>
        <v>3.2</v>
      </c>
      <c r="T10" s="75">
        <v>4</v>
      </c>
      <c r="U10" s="87">
        <f t="shared" si="6"/>
        <v>19.2</v>
      </c>
      <c r="V10" s="87">
        <f t="shared" si="3"/>
        <v>76.8</v>
      </c>
    </row>
    <row r="11" spans="1:23" ht="14.4">
      <c r="A11" s="96">
        <v>9</v>
      </c>
      <c r="B11" s="97">
        <v>4326322401</v>
      </c>
      <c r="C11" s="98" t="s">
        <v>83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75">
        <v>1</v>
      </c>
      <c r="U11" s="103">
        <v>0</v>
      </c>
      <c r="V11" s="103">
        <v>0</v>
      </c>
      <c r="W11" s="83" t="s">
        <v>115</v>
      </c>
    </row>
    <row r="12" spans="1:23" ht="14.4">
      <c r="A12" s="94">
        <v>10</v>
      </c>
      <c r="B12" s="78">
        <v>4326281201</v>
      </c>
      <c r="C12" s="93" t="s">
        <v>85</v>
      </c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75">
        <v>1</v>
      </c>
      <c r="U12" s="91">
        <v>4414</v>
      </c>
      <c r="V12" s="91">
        <f>U12*T12</f>
        <v>4414</v>
      </c>
    </row>
    <row r="13" spans="1:23" ht="14.4">
      <c r="A13" s="94">
        <v>11</v>
      </c>
      <c r="B13" s="78">
        <v>4326283501</v>
      </c>
      <c r="C13" s="93" t="s">
        <v>86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75">
        <v>2</v>
      </c>
      <c r="U13" s="91">
        <v>636</v>
      </c>
      <c r="V13" s="91">
        <f>U13*T13</f>
        <v>1272</v>
      </c>
    </row>
    <row r="14" spans="1:23" ht="14.4">
      <c r="A14" s="76">
        <v>12</v>
      </c>
      <c r="B14" s="80">
        <v>123819</v>
      </c>
      <c r="C14" s="79" t="s">
        <v>87</v>
      </c>
      <c r="D14" s="92"/>
      <c r="E14" s="100">
        <v>0</v>
      </c>
      <c r="F14" s="100">
        <v>0</v>
      </c>
      <c r="G14" s="100">
        <v>0</v>
      </c>
      <c r="H14" s="101">
        <f t="shared" ref="H14:H15" si="8">+E14*F14*G14*8.55/1000000</f>
        <v>0</v>
      </c>
      <c r="I14" s="102">
        <v>30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f t="shared" ref="R14:R15" si="9">H14*30</f>
        <v>0</v>
      </c>
      <c r="S14" s="103">
        <f t="shared" ref="S14:S15" si="10">SUM(I14:R14)*20%</f>
        <v>6</v>
      </c>
      <c r="T14" s="75">
        <v>2</v>
      </c>
      <c r="U14" s="103">
        <f t="shared" ref="U14:U15" si="11">+SUM(I14:S14)</f>
        <v>36</v>
      </c>
      <c r="V14" s="103">
        <f t="shared" ref="V14:V15" si="12">U14*T14</f>
        <v>72</v>
      </c>
    </row>
    <row r="15" spans="1:23" ht="14.4">
      <c r="A15" s="76">
        <v>13</v>
      </c>
      <c r="B15" s="80">
        <v>193836</v>
      </c>
      <c r="C15" s="79" t="s">
        <v>88</v>
      </c>
      <c r="D15" s="92"/>
      <c r="E15" s="100">
        <v>0</v>
      </c>
      <c r="F15" s="100">
        <v>0</v>
      </c>
      <c r="G15" s="100">
        <v>0</v>
      </c>
      <c r="H15" s="101">
        <f t="shared" si="8"/>
        <v>0</v>
      </c>
      <c r="I15" s="102">
        <v>25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f t="shared" si="9"/>
        <v>0</v>
      </c>
      <c r="S15" s="103">
        <f t="shared" si="10"/>
        <v>5</v>
      </c>
      <c r="T15" s="75">
        <v>2</v>
      </c>
      <c r="U15" s="103">
        <f t="shared" si="11"/>
        <v>30</v>
      </c>
      <c r="V15" s="103">
        <f t="shared" si="12"/>
        <v>60</v>
      </c>
    </row>
    <row r="16" spans="1:23" ht="14.4">
      <c r="A16" s="76">
        <v>14</v>
      </c>
      <c r="B16" s="80" t="s">
        <v>89</v>
      </c>
      <c r="C16" s="79" t="s">
        <v>90</v>
      </c>
      <c r="D16" s="92"/>
      <c r="E16" s="100">
        <v>0</v>
      </c>
      <c r="F16" s="100">
        <v>0</v>
      </c>
      <c r="G16" s="100">
        <v>0</v>
      </c>
      <c r="H16" s="101">
        <f t="shared" ref="H16" si="13">+E16*F16*G16*8.55/1000000</f>
        <v>0</v>
      </c>
      <c r="I16" s="102">
        <v>22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  <c r="P16" s="102">
        <v>0</v>
      </c>
      <c r="Q16" s="102">
        <v>0</v>
      </c>
      <c r="R16" s="102">
        <f t="shared" ref="R16" si="14">H16*30</f>
        <v>0</v>
      </c>
      <c r="S16" s="103">
        <f t="shared" ref="S16" si="15">SUM(I16:R16)*20%</f>
        <v>4.4000000000000004</v>
      </c>
      <c r="T16" s="75">
        <v>2</v>
      </c>
      <c r="U16" s="103">
        <f t="shared" ref="U16" si="16">+SUM(I16:S16)</f>
        <v>26.4</v>
      </c>
      <c r="V16" s="103">
        <f t="shared" ref="V16" si="17">U16*T16</f>
        <v>52.8</v>
      </c>
    </row>
    <row r="17" spans="1:22" ht="14.4">
      <c r="A17" s="76">
        <v>15</v>
      </c>
      <c r="B17" s="80">
        <v>123836</v>
      </c>
      <c r="C17" s="79" t="s">
        <v>92</v>
      </c>
      <c r="D17" s="92"/>
      <c r="E17" s="100">
        <v>0</v>
      </c>
      <c r="F17" s="100">
        <v>0</v>
      </c>
      <c r="G17" s="100">
        <v>0</v>
      </c>
      <c r="H17" s="101">
        <f t="shared" ref="H17:H18" si="18">+E17*F17*G17*8.55/1000000</f>
        <v>0</v>
      </c>
      <c r="I17" s="102">
        <v>12</v>
      </c>
      <c r="J17" s="102">
        <v>0</v>
      </c>
      <c r="K17" s="102">
        <v>0</v>
      </c>
      <c r="L17" s="102">
        <v>0</v>
      </c>
      <c r="M17" s="102">
        <v>0</v>
      </c>
      <c r="N17" s="102">
        <v>0</v>
      </c>
      <c r="O17" s="102">
        <v>0</v>
      </c>
      <c r="P17" s="102">
        <v>0</v>
      </c>
      <c r="Q17" s="102">
        <v>0</v>
      </c>
      <c r="R17" s="102">
        <f t="shared" ref="R17:R18" si="19">H17*30</f>
        <v>0</v>
      </c>
      <c r="S17" s="103">
        <f t="shared" ref="S17:S18" si="20">SUM(I17:R17)*20%</f>
        <v>2.4000000000000004</v>
      </c>
      <c r="T17" s="75">
        <v>2</v>
      </c>
      <c r="U17" s="103">
        <f t="shared" ref="U17:U18" si="21">+SUM(I17:S17)</f>
        <v>14.4</v>
      </c>
      <c r="V17" s="103">
        <f t="shared" ref="V17:V18" si="22">U17*T17</f>
        <v>28.8</v>
      </c>
    </row>
    <row r="18" spans="1:22" ht="14.4">
      <c r="A18" s="76">
        <v>16</v>
      </c>
      <c r="B18" s="80">
        <v>188435</v>
      </c>
      <c r="C18" s="79" t="s">
        <v>93</v>
      </c>
      <c r="D18" s="92"/>
      <c r="E18" s="100">
        <v>0</v>
      </c>
      <c r="F18" s="100">
        <v>0</v>
      </c>
      <c r="G18" s="100">
        <v>0</v>
      </c>
      <c r="H18" s="101">
        <f t="shared" si="18"/>
        <v>0</v>
      </c>
      <c r="I18" s="102">
        <v>25</v>
      </c>
      <c r="J18" s="102">
        <v>0</v>
      </c>
      <c r="K18" s="102">
        <v>0</v>
      </c>
      <c r="L18" s="102">
        <v>0</v>
      </c>
      <c r="M18" s="102">
        <v>0</v>
      </c>
      <c r="N18" s="102">
        <v>0</v>
      </c>
      <c r="O18" s="102">
        <v>0</v>
      </c>
      <c r="P18" s="102">
        <v>0</v>
      </c>
      <c r="Q18" s="102">
        <v>0</v>
      </c>
      <c r="R18" s="102">
        <f t="shared" si="19"/>
        <v>0</v>
      </c>
      <c r="S18" s="103">
        <f t="shared" si="20"/>
        <v>5</v>
      </c>
      <c r="T18" s="75">
        <v>2</v>
      </c>
      <c r="U18" s="103">
        <f t="shared" si="21"/>
        <v>30</v>
      </c>
      <c r="V18" s="103">
        <f t="shared" si="22"/>
        <v>60</v>
      </c>
    </row>
    <row r="19" spans="1:22" ht="13.85">
      <c r="V19" s="32">
        <f>SUM(V3:V18)</f>
        <v>66934.600000000006</v>
      </c>
    </row>
    <row r="20" spans="1:22" ht="14.4">
      <c r="U20" s="174" t="s">
        <v>116</v>
      </c>
      <c r="V20" s="127">
        <f>V19*5%</f>
        <v>3346.7300000000005</v>
      </c>
    </row>
    <row r="21" spans="1:22" ht="14.4">
      <c r="U21" s="175" t="s">
        <v>19</v>
      </c>
      <c r="V21" s="40">
        <f>SUM(V19:V20)</f>
        <v>70281.33</v>
      </c>
    </row>
  </sheetData>
  <mergeCells count="1"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"/>
  <sheetViews>
    <sheetView workbookViewId="0">
      <selection activeCell="V8" sqref="V8"/>
    </sheetView>
  </sheetViews>
  <sheetFormatPr defaultRowHeight="14.4"/>
  <cols>
    <col min="1" max="1" width="1.8984375" bestFit="1" customWidth="1"/>
    <col min="2" max="2" width="12.59765625" bestFit="1" customWidth="1"/>
    <col min="3" max="3" width="34.69921875" bestFit="1" customWidth="1"/>
    <col min="4" max="4" width="7.69921875" bestFit="1" customWidth="1"/>
    <col min="5" max="7" width="2.5" bestFit="1" customWidth="1"/>
    <col min="8" max="8" width="5.8984375" bestFit="1" customWidth="1"/>
    <col min="9" max="9" width="7.69921875" bestFit="1" customWidth="1"/>
    <col min="10" max="10" width="7.59765625" bestFit="1" customWidth="1"/>
    <col min="12" max="12" width="5" bestFit="1" customWidth="1"/>
    <col min="13" max="13" width="7.09765625" bestFit="1" customWidth="1"/>
    <col min="14" max="14" width="6.69921875" bestFit="1" customWidth="1"/>
    <col min="15" max="15" width="8.3984375" bestFit="1" customWidth="1"/>
    <col min="18" max="19" width="6.19921875" bestFit="1" customWidth="1"/>
    <col min="20" max="20" width="4" bestFit="1" customWidth="1"/>
    <col min="21" max="21" width="9.19921875" bestFit="1" customWidth="1"/>
    <col min="22" max="22" width="7.5" bestFit="1" customWidth="1"/>
  </cols>
  <sheetData>
    <row r="1" spans="1:22" s="83" customFormat="1" ht="50.95">
      <c r="A1" s="30" t="s">
        <v>112</v>
      </c>
      <c r="B1" s="60" t="s">
        <v>113</v>
      </c>
      <c r="C1" s="60" t="s">
        <v>14</v>
      </c>
      <c r="D1" s="60" t="s">
        <v>29</v>
      </c>
      <c r="E1" s="173" t="s">
        <v>30</v>
      </c>
      <c r="F1" s="173"/>
      <c r="G1" s="173"/>
      <c r="H1" s="81" t="s">
        <v>31</v>
      </c>
      <c r="I1" s="82" t="s">
        <v>32</v>
      </c>
      <c r="J1" s="30" t="s">
        <v>33</v>
      </c>
      <c r="K1" s="30" t="s">
        <v>34</v>
      </c>
      <c r="L1" s="30" t="s">
        <v>35</v>
      </c>
      <c r="M1" s="81" t="s">
        <v>36</v>
      </c>
      <c r="N1" s="81" t="s">
        <v>37</v>
      </c>
      <c r="O1" s="81" t="s">
        <v>38</v>
      </c>
      <c r="P1" s="30" t="s">
        <v>44</v>
      </c>
      <c r="Q1" s="30" t="s">
        <v>43</v>
      </c>
      <c r="R1" s="81" t="s">
        <v>39</v>
      </c>
      <c r="S1" s="30" t="s">
        <v>40</v>
      </c>
      <c r="T1" s="30" t="s">
        <v>41</v>
      </c>
      <c r="U1" s="81" t="s">
        <v>42</v>
      </c>
      <c r="V1" s="30" t="s">
        <v>45</v>
      </c>
    </row>
    <row r="2" spans="1:22" s="83" customFormat="1">
      <c r="A2" s="76">
        <v>1</v>
      </c>
      <c r="B2" s="86">
        <v>4327033201</v>
      </c>
      <c r="C2" s="113" t="s">
        <v>95</v>
      </c>
      <c r="D2" s="63"/>
      <c r="E2" s="84">
        <v>0</v>
      </c>
      <c r="F2" s="84">
        <v>0</v>
      </c>
      <c r="G2" s="84">
        <v>0</v>
      </c>
      <c r="H2" s="85">
        <f t="shared" ref="H2:H5" si="0">+E2*F2*G2*8.55/1000000</f>
        <v>0</v>
      </c>
      <c r="I2" s="86">
        <f t="shared" ref="I2" si="1">H2*320</f>
        <v>0</v>
      </c>
      <c r="J2" s="86">
        <v>0</v>
      </c>
      <c r="K2" s="86">
        <v>0</v>
      </c>
      <c r="L2" s="86">
        <v>0</v>
      </c>
      <c r="M2" s="86">
        <v>0</v>
      </c>
      <c r="N2" s="86">
        <v>0</v>
      </c>
      <c r="O2" s="86">
        <v>0</v>
      </c>
      <c r="P2" s="86">
        <v>0</v>
      </c>
      <c r="Q2" s="86">
        <v>0</v>
      </c>
      <c r="R2" s="86">
        <f>H2*30</f>
        <v>0</v>
      </c>
      <c r="S2" s="87">
        <f>SUM(I2:R2)*20%</f>
        <v>0</v>
      </c>
      <c r="T2" s="54">
        <v>5</v>
      </c>
      <c r="U2" s="87">
        <f t="shared" ref="U2" si="2">+SUM(I2:S2)</f>
        <v>0</v>
      </c>
      <c r="V2" s="87">
        <f t="shared" ref="V2:V5" si="3">U2*T2</f>
        <v>0</v>
      </c>
    </row>
    <row r="3" spans="1:22" s="83" customFormat="1">
      <c r="A3" s="94">
        <v>2</v>
      </c>
      <c r="B3" s="90">
        <v>4326335201</v>
      </c>
      <c r="C3" s="114" t="s">
        <v>96</v>
      </c>
      <c r="D3" s="34"/>
      <c r="E3" s="88">
        <v>0</v>
      </c>
      <c r="F3" s="88">
        <v>0</v>
      </c>
      <c r="G3" s="88">
        <v>0</v>
      </c>
      <c r="H3" s="89">
        <f t="shared" si="0"/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 s="90">
        <f t="shared" ref="R3:R5" si="4">H3*30</f>
        <v>0</v>
      </c>
      <c r="S3" s="91">
        <f t="shared" ref="S3:S5" si="5">SUM(I3:R3)*20%</f>
        <v>0</v>
      </c>
      <c r="T3" s="57">
        <v>5</v>
      </c>
      <c r="U3" s="91">
        <v>31300</v>
      </c>
      <c r="V3" s="91">
        <f t="shared" si="3"/>
        <v>156500</v>
      </c>
    </row>
    <row r="4" spans="1:22" s="107" customFormat="1">
      <c r="A4" s="108">
        <v>3</v>
      </c>
      <c r="B4" s="86">
        <v>193814</v>
      </c>
      <c r="C4" s="113" t="s">
        <v>97</v>
      </c>
      <c r="D4" s="42"/>
      <c r="E4" s="109">
        <v>0</v>
      </c>
      <c r="F4" s="109">
        <v>0</v>
      </c>
      <c r="G4" s="109">
        <v>0</v>
      </c>
      <c r="H4" s="110">
        <f t="shared" si="0"/>
        <v>0</v>
      </c>
      <c r="I4" s="111">
        <v>60</v>
      </c>
      <c r="J4" s="111">
        <v>0</v>
      </c>
      <c r="K4" s="111">
        <v>0</v>
      </c>
      <c r="L4" s="111">
        <v>0</v>
      </c>
      <c r="M4" s="111">
        <v>0</v>
      </c>
      <c r="N4" s="111">
        <v>0</v>
      </c>
      <c r="O4" s="111">
        <v>0</v>
      </c>
      <c r="P4" s="111">
        <v>0</v>
      </c>
      <c r="Q4" s="111">
        <v>0</v>
      </c>
      <c r="R4" s="111">
        <f t="shared" si="4"/>
        <v>0</v>
      </c>
      <c r="S4" s="112">
        <f t="shared" si="5"/>
        <v>12</v>
      </c>
      <c r="T4" s="57">
        <v>15</v>
      </c>
      <c r="U4" s="112">
        <f t="shared" ref="U4:U5" si="6">+SUM(I4:S4)</f>
        <v>72</v>
      </c>
      <c r="V4" s="112">
        <f t="shared" si="3"/>
        <v>1080</v>
      </c>
    </row>
    <row r="5" spans="1:22" s="83" customFormat="1">
      <c r="A5" s="108">
        <v>4</v>
      </c>
      <c r="B5" s="86">
        <v>114246</v>
      </c>
      <c r="C5" s="113" t="s">
        <v>98</v>
      </c>
      <c r="D5" s="42"/>
      <c r="E5" s="109">
        <v>0</v>
      </c>
      <c r="F5" s="109">
        <v>0</v>
      </c>
      <c r="G5" s="109">
        <v>0</v>
      </c>
      <c r="H5" s="110">
        <f t="shared" si="0"/>
        <v>0</v>
      </c>
      <c r="I5" s="111">
        <v>32</v>
      </c>
      <c r="J5" s="111">
        <v>0</v>
      </c>
      <c r="K5" s="111">
        <v>0</v>
      </c>
      <c r="L5" s="111">
        <v>0</v>
      </c>
      <c r="M5" s="111">
        <v>0</v>
      </c>
      <c r="N5" s="111">
        <v>0</v>
      </c>
      <c r="O5" s="111">
        <v>0</v>
      </c>
      <c r="P5" s="111">
        <v>0</v>
      </c>
      <c r="Q5" s="111">
        <v>0</v>
      </c>
      <c r="R5" s="111">
        <f t="shared" si="4"/>
        <v>0</v>
      </c>
      <c r="S5" s="112">
        <f t="shared" si="5"/>
        <v>6.4</v>
      </c>
      <c r="T5" s="57">
        <v>15</v>
      </c>
      <c r="U5" s="112">
        <f t="shared" si="6"/>
        <v>38.4</v>
      </c>
      <c r="V5" s="112">
        <f t="shared" si="3"/>
        <v>576</v>
      </c>
    </row>
    <row r="6" spans="1:22">
      <c r="V6" s="127">
        <f>SUM(V2:V5)</f>
        <v>158156</v>
      </c>
    </row>
    <row r="7" spans="1:22" ht="14.95">
      <c r="U7" s="174" t="s">
        <v>116</v>
      </c>
      <c r="V7" s="127">
        <f>V6*5%</f>
        <v>7907.8</v>
      </c>
    </row>
    <row r="8" spans="1:22" ht="14.95">
      <c r="U8" s="175" t="s">
        <v>19</v>
      </c>
      <c r="V8" s="40">
        <f>SUM(V6:V7)</f>
        <v>166063.79999999999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1"/>
  <sheetViews>
    <sheetView workbookViewId="0">
      <selection activeCell="U10" sqref="U10:V11"/>
    </sheetView>
  </sheetViews>
  <sheetFormatPr defaultRowHeight="14.4"/>
  <cols>
    <col min="1" max="1" width="3.3984375" customWidth="1"/>
    <col min="2" max="2" width="11.8984375" bestFit="1" customWidth="1"/>
    <col min="3" max="3" width="28.19921875" bestFit="1" customWidth="1"/>
    <col min="5" max="7" width="5.69921875" customWidth="1"/>
    <col min="8" max="8" width="5.8984375" bestFit="1" customWidth="1"/>
    <col min="9" max="9" width="7.69921875" bestFit="1" customWidth="1"/>
    <col min="10" max="10" width="7.59765625" bestFit="1" customWidth="1"/>
    <col min="11" max="11" width="8.3984375" bestFit="1" customWidth="1"/>
    <col min="12" max="12" width="5" bestFit="1" customWidth="1"/>
    <col min="13" max="13" width="7.09765625" bestFit="1" customWidth="1"/>
    <col min="14" max="14" width="6.69921875" bestFit="1" customWidth="1"/>
    <col min="15" max="15" width="8.3984375" bestFit="1" customWidth="1"/>
    <col min="18" max="18" width="6.19921875" bestFit="1" customWidth="1"/>
    <col min="20" max="20" width="4" bestFit="1" customWidth="1"/>
    <col min="21" max="21" width="9.19921875" bestFit="1" customWidth="1"/>
    <col min="22" max="22" width="6.3984375" bestFit="1" customWidth="1"/>
  </cols>
  <sheetData>
    <row r="1" spans="1:22" s="83" customFormat="1" ht="38.25">
      <c r="A1" s="30" t="s">
        <v>112</v>
      </c>
      <c r="B1" s="60" t="s">
        <v>113</v>
      </c>
      <c r="C1" s="60" t="s">
        <v>14</v>
      </c>
      <c r="D1" s="60" t="s">
        <v>29</v>
      </c>
      <c r="E1" s="173" t="s">
        <v>30</v>
      </c>
      <c r="F1" s="173"/>
      <c r="G1" s="173"/>
      <c r="H1" s="81" t="s">
        <v>31</v>
      </c>
      <c r="I1" s="82" t="s">
        <v>32</v>
      </c>
      <c r="J1" s="30" t="s">
        <v>33</v>
      </c>
      <c r="K1" s="30" t="s">
        <v>34</v>
      </c>
      <c r="L1" s="30" t="s">
        <v>35</v>
      </c>
      <c r="M1" s="81" t="s">
        <v>36</v>
      </c>
      <c r="N1" s="81" t="s">
        <v>37</v>
      </c>
      <c r="O1" s="81" t="s">
        <v>38</v>
      </c>
      <c r="P1" s="30" t="s">
        <v>44</v>
      </c>
      <c r="Q1" s="30" t="s">
        <v>43</v>
      </c>
      <c r="R1" s="81" t="s">
        <v>39</v>
      </c>
      <c r="S1" s="30" t="s">
        <v>40</v>
      </c>
      <c r="T1" s="30" t="s">
        <v>41</v>
      </c>
      <c r="U1" s="81" t="s">
        <v>42</v>
      </c>
      <c r="V1" s="30" t="s">
        <v>45</v>
      </c>
    </row>
    <row r="2" spans="1:22" s="83" customFormat="1">
      <c r="A2" s="76">
        <v>1</v>
      </c>
      <c r="B2" s="53">
        <v>4322369101</v>
      </c>
      <c r="C2" s="53" t="s">
        <v>100</v>
      </c>
      <c r="D2" s="63"/>
      <c r="E2" s="84">
        <v>0</v>
      </c>
      <c r="F2" s="84">
        <v>0</v>
      </c>
      <c r="G2" s="84">
        <v>0</v>
      </c>
      <c r="H2" s="85">
        <f t="shared" ref="H2:H8" si="0">+E2*F2*G2*8.55/1000000</f>
        <v>0</v>
      </c>
      <c r="I2" s="86">
        <f t="shared" ref="I2" si="1">H2*320</f>
        <v>0</v>
      </c>
      <c r="J2" s="86">
        <v>0</v>
      </c>
      <c r="K2" s="86">
        <v>0</v>
      </c>
      <c r="L2" s="86">
        <v>0</v>
      </c>
      <c r="M2" s="86">
        <v>0</v>
      </c>
      <c r="N2" s="86">
        <v>0</v>
      </c>
      <c r="O2" s="86">
        <v>0</v>
      </c>
      <c r="P2" s="86">
        <v>0</v>
      </c>
      <c r="Q2" s="86">
        <v>0</v>
      </c>
      <c r="R2" s="86">
        <f>H2*30</f>
        <v>0</v>
      </c>
      <c r="S2" s="87">
        <f>SUM(I2:R2)*20%</f>
        <v>0</v>
      </c>
      <c r="T2" s="74">
        <v>1</v>
      </c>
      <c r="U2" s="87">
        <f t="shared" ref="U2" si="2">+SUM(I2:S2)</f>
        <v>0</v>
      </c>
      <c r="V2" s="87">
        <f t="shared" ref="V2:V7" si="3">U2*T2</f>
        <v>0</v>
      </c>
    </row>
    <row r="3" spans="1:22" s="116" customFormat="1">
      <c r="A3" s="94">
        <v>2</v>
      </c>
      <c r="B3" s="56">
        <v>4292669201</v>
      </c>
      <c r="C3" s="115" t="s">
        <v>101</v>
      </c>
      <c r="D3" s="34"/>
      <c r="E3" s="88">
        <v>0</v>
      </c>
      <c r="F3" s="88">
        <v>0</v>
      </c>
      <c r="G3" s="88">
        <v>0</v>
      </c>
      <c r="H3" s="89">
        <f t="shared" si="0"/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 s="90">
        <f t="shared" ref="R3:R8" si="4">H3*30</f>
        <v>0</v>
      </c>
      <c r="S3" s="91">
        <f t="shared" ref="S3:S8" si="5">SUM(I3:R3)*20%</f>
        <v>0</v>
      </c>
      <c r="T3" s="75">
        <v>4</v>
      </c>
      <c r="U3" s="91">
        <v>2808</v>
      </c>
      <c r="V3" s="91">
        <f t="shared" si="3"/>
        <v>11232</v>
      </c>
    </row>
    <row r="4" spans="1:22" s="107" customFormat="1">
      <c r="A4" s="61">
        <v>3</v>
      </c>
      <c r="B4" s="105">
        <v>194131</v>
      </c>
      <c r="C4" s="106" t="s">
        <v>102</v>
      </c>
      <c r="D4" s="63"/>
      <c r="E4" s="84">
        <v>0</v>
      </c>
      <c r="F4" s="84">
        <v>0</v>
      </c>
      <c r="G4" s="84">
        <v>0</v>
      </c>
      <c r="H4" s="85">
        <f t="shared" si="0"/>
        <v>0</v>
      </c>
      <c r="I4" s="86">
        <v>35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f t="shared" si="4"/>
        <v>0</v>
      </c>
      <c r="S4" s="87">
        <f t="shared" si="5"/>
        <v>7</v>
      </c>
      <c r="T4" s="75">
        <v>4</v>
      </c>
      <c r="U4" s="87">
        <v>5427</v>
      </c>
      <c r="V4" s="87">
        <f t="shared" si="3"/>
        <v>21708</v>
      </c>
    </row>
    <row r="5" spans="1:22" s="107" customFormat="1">
      <c r="A5" s="61">
        <v>4</v>
      </c>
      <c r="B5" s="105">
        <v>4285817301</v>
      </c>
      <c r="C5" s="106" t="s">
        <v>103</v>
      </c>
      <c r="D5" s="63"/>
      <c r="E5" s="84">
        <v>0</v>
      </c>
      <c r="F5" s="84">
        <v>0</v>
      </c>
      <c r="G5" s="84">
        <v>0</v>
      </c>
      <c r="H5" s="85">
        <f t="shared" si="0"/>
        <v>0</v>
      </c>
      <c r="I5" s="86">
        <v>40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f t="shared" si="4"/>
        <v>0</v>
      </c>
      <c r="S5" s="87">
        <f t="shared" si="5"/>
        <v>8</v>
      </c>
      <c r="T5" s="75">
        <v>4</v>
      </c>
      <c r="U5" s="87">
        <f t="shared" ref="U5:U7" si="6">+SUM(I5:S5)</f>
        <v>48</v>
      </c>
      <c r="V5" s="87">
        <f t="shared" si="3"/>
        <v>192</v>
      </c>
    </row>
    <row r="6" spans="1:22" s="107" customFormat="1">
      <c r="A6" s="61">
        <v>5</v>
      </c>
      <c r="B6" s="105">
        <v>103738</v>
      </c>
      <c r="C6" s="106" t="s">
        <v>104</v>
      </c>
      <c r="D6" s="63"/>
      <c r="E6" s="84">
        <v>0</v>
      </c>
      <c r="F6" s="84">
        <v>0</v>
      </c>
      <c r="G6" s="84">
        <v>0</v>
      </c>
      <c r="H6" s="85">
        <f t="shared" si="0"/>
        <v>0</v>
      </c>
      <c r="I6" s="86">
        <v>50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f t="shared" si="4"/>
        <v>0</v>
      </c>
      <c r="S6" s="87">
        <f t="shared" si="5"/>
        <v>10</v>
      </c>
      <c r="T6" s="75">
        <v>4</v>
      </c>
      <c r="U6" s="87">
        <f t="shared" si="6"/>
        <v>60</v>
      </c>
      <c r="V6" s="87">
        <f t="shared" si="3"/>
        <v>240</v>
      </c>
    </row>
    <row r="7" spans="1:22" s="107" customFormat="1">
      <c r="A7" s="61">
        <v>6</v>
      </c>
      <c r="B7" s="105">
        <v>114246</v>
      </c>
      <c r="C7" s="106" t="s">
        <v>98</v>
      </c>
      <c r="D7" s="63"/>
      <c r="E7" s="84">
        <v>0</v>
      </c>
      <c r="F7" s="84">
        <v>0</v>
      </c>
      <c r="G7" s="84">
        <v>0</v>
      </c>
      <c r="H7" s="85">
        <f t="shared" si="0"/>
        <v>0</v>
      </c>
      <c r="I7" s="86">
        <v>22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f t="shared" si="4"/>
        <v>0</v>
      </c>
      <c r="S7" s="87">
        <f t="shared" si="5"/>
        <v>4.4000000000000004</v>
      </c>
      <c r="T7" s="75">
        <v>4</v>
      </c>
      <c r="U7" s="87">
        <f t="shared" si="6"/>
        <v>26.4</v>
      </c>
      <c r="V7" s="87">
        <f t="shared" si="3"/>
        <v>105.6</v>
      </c>
    </row>
    <row r="8" spans="1:22" s="107" customFormat="1">
      <c r="A8" s="61">
        <v>7</v>
      </c>
      <c r="B8" s="105" t="s">
        <v>105</v>
      </c>
      <c r="C8" s="117" t="s">
        <v>114</v>
      </c>
      <c r="D8" s="63"/>
      <c r="E8" s="84">
        <v>0</v>
      </c>
      <c r="F8" s="84">
        <v>0</v>
      </c>
      <c r="G8" s="84">
        <v>0</v>
      </c>
      <c r="H8" s="85">
        <f t="shared" si="0"/>
        <v>0</v>
      </c>
      <c r="I8" s="86">
        <v>90</v>
      </c>
      <c r="J8" s="86">
        <v>0</v>
      </c>
      <c r="K8" s="86">
        <v>0</v>
      </c>
      <c r="L8" s="86">
        <v>0</v>
      </c>
      <c r="M8" s="86">
        <v>0</v>
      </c>
      <c r="N8" s="86">
        <v>0</v>
      </c>
      <c r="O8" s="86">
        <v>0</v>
      </c>
      <c r="P8" s="86">
        <v>0</v>
      </c>
      <c r="Q8" s="86">
        <v>0</v>
      </c>
      <c r="R8" s="86">
        <f t="shared" si="4"/>
        <v>0</v>
      </c>
      <c r="S8" s="87">
        <f t="shared" si="5"/>
        <v>18</v>
      </c>
      <c r="T8" s="75">
        <v>8</v>
      </c>
      <c r="U8" s="87">
        <f t="shared" ref="U8" si="7">+SUM(I8:S8)</f>
        <v>108</v>
      </c>
      <c r="V8" s="87">
        <f t="shared" ref="V8" si="8">U8*T8</f>
        <v>864</v>
      </c>
    </row>
    <row r="9" spans="1:22" s="83" customFormat="1" ht="13.85">
      <c r="V9" s="127">
        <f>SUM(V2:V8)</f>
        <v>34341.599999999999</v>
      </c>
    </row>
    <row r="10" spans="1:22" ht="14.95">
      <c r="U10" s="174" t="s">
        <v>116</v>
      </c>
      <c r="V10" s="127">
        <f>V9*5%</f>
        <v>1717.08</v>
      </c>
    </row>
    <row r="11" spans="1:22" ht="14.95">
      <c r="U11" s="175" t="s">
        <v>19</v>
      </c>
      <c r="V11" s="40">
        <f>SUM(V9:V10)</f>
        <v>36058.68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14"/>
  <sheetViews>
    <sheetView workbookViewId="0">
      <selection activeCell="U13" sqref="U13:V14"/>
    </sheetView>
  </sheetViews>
  <sheetFormatPr defaultRowHeight="14.4"/>
  <cols>
    <col min="2" max="2" width="12.59765625" bestFit="1" customWidth="1"/>
    <col min="3" max="3" width="28.19921875" bestFit="1" customWidth="1"/>
    <col min="4" max="4" width="7.69921875" bestFit="1" customWidth="1"/>
    <col min="5" max="7" width="5.69921875" customWidth="1"/>
    <col min="8" max="8" width="5.8984375" bestFit="1" customWidth="1"/>
    <col min="10" max="10" width="7.59765625" bestFit="1" customWidth="1"/>
    <col min="11" max="11" width="8.3984375" bestFit="1" customWidth="1"/>
    <col min="12" max="12" width="5" bestFit="1" customWidth="1"/>
    <col min="13" max="13" width="7.09765625" bestFit="1" customWidth="1"/>
    <col min="14" max="14" width="6.69921875" bestFit="1" customWidth="1"/>
    <col min="18" max="18" width="6.19921875" bestFit="1" customWidth="1"/>
    <col min="20" max="20" width="4" bestFit="1" customWidth="1"/>
    <col min="21" max="21" width="5.8984375" bestFit="1" customWidth="1"/>
    <col min="22" max="22" width="6.3984375" bestFit="1" customWidth="1"/>
  </cols>
  <sheetData>
    <row r="2" spans="1:22" s="83" customFormat="1" ht="38.25">
      <c r="A2" s="30" t="s">
        <v>112</v>
      </c>
      <c r="B2" s="60" t="s">
        <v>113</v>
      </c>
      <c r="C2" s="60" t="s">
        <v>14</v>
      </c>
      <c r="D2" s="60" t="s">
        <v>29</v>
      </c>
      <c r="E2" s="173" t="s">
        <v>30</v>
      </c>
      <c r="F2" s="173"/>
      <c r="G2" s="173"/>
      <c r="H2" s="81" t="s">
        <v>31</v>
      </c>
      <c r="I2" s="82" t="s">
        <v>32</v>
      </c>
      <c r="J2" s="30" t="s">
        <v>33</v>
      </c>
      <c r="K2" s="30" t="s">
        <v>34</v>
      </c>
      <c r="L2" s="30" t="s">
        <v>35</v>
      </c>
      <c r="M2" s="81" t="s">
        <v>36</v>
      </c>
      <c r="N2" s="81" t="s">
        <v>37</v>
      </c>
      <c r="O2" s="81" t="s">
        <v>38</v>
      </c>
      <c r="P2" s="30" t="s">
        <v>44</v>
      </c>
      <c r="Q2" s="30" t="s">
        <v>43</v>
      </c>
      <c r="R2" s="81" t="s">
        <v>39</v>
      </c>
      <c r="S2" s="30" t="s">
        <v>40</v>
      </c>
      <c r="T2" s="30" t="s">
        <v>41</v>
      </c>
      <c r="U2" s="30" t="s">
        <v>42</v>
      </c>
      <c r="V2" s="30" t="s">
        <v>45</v>
      </c>
    </row>
    <row r="3" spans="1:22" s="83" customFormat="1">
      <c r="A3" s="76">
        <v>1</v>
      </c>
      <c r="B3" s="53">
        <v>4353703501</v>
      </c>
      <c r="C3" s="53" t="s">
        <v>109</v>
      </c>
      <c r="D3" s="63"/>
      <c r="E3" s="84">
        <v>0</v>
      </c>
      <c r="F3" s="84">
        <v>0</v>
      </c>
      <c r="G3" s="84">
        <v>0</v>
      </c>
      <c r="H3" s="85">
        <f t="shared" ref="H3:H10" si="0">+E3*F3*G3*8.55/1000000</f>
        <v>0</v>
      </c>
      <c r="I3" s="86">
        <f t="shared" ref="I3" si="1">H3*320</f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f>H3*30</f>
        <v>0</v>
      </c>
      <c r="S3" s="87">
        <f>SUM(I3:R3)*20%</f>
        <v>0</v>
      </c>
      <c r="T3" s="74">
        <v>3</v>
      </c>
      <c r="U3" s="87">
        <v>0</v>
      </c>
      <c r="V3" s="87">
        <f t="shared" ref="V3:V10" si="2">U3*T3</f>
        <v>0</v>
      </c>
    </row>
    <row r="4" spans="1:22" s="83" customFormat="1">
      <c r="A4" s="94">
        <v>2</v>
      </c>
      <c r="B4" s="56">
        <v>4353702901</v>
      </c>
      <c r="C4" s="115" t="s">
        <v>110</v>
      </c>
      <c r="D4" s="34"/>
      <c r="E4" s="88">
        <v>0</v>
      </c>
      <c r="F4" s="88">
        <v>0</v>
      </c>
      <c r="G4" s="88">
        <v>0</v>
      </c>
      <c r="H4" s="89">
        <f t="shared" si="0"/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  <c r="P4" s="90">
        <v>0</v>
      </c>
      <c r="Q4" s="90">
        <v>0</v>
      </c>
      <c r="R4" s="90">
        <f t="shared" ref="R4:R10" si="3">H4*30</f>
        <v>0</v>
      </c>
      <c r="S4" s="91">
        <f t="shared" ref="S4:S10" si="4">SUM(I4:R4)*20%</f>
        <v>0</v>
      </c>
      <c r="T4" s="75">
        <v>3</v>
      </c>
      <c r="U4" s="91">
        <v>21526</v>
      </c>
      <c r="V4" s="91">
        <f t="shared" si="2"/>
        <v>64578</v>
      </c>
    </row>
    <row r="5" spans="1:22" s="83" customFormat="1">
      <c r="A5" s="94">
        <v>3</v>
      </c>
      <c r="B5" s="56">
        <v>4326153101</v>
      </c>
      <c r="C5" s="115" t="s">
        <v>64</v>
      </c>
      <c r="D5" s="34"/>
      <c r="E5" s="88">
        <v>0</v>
      </c>
      <c r="F5" s="88">
        <v>0</v>
      </c>
      <c r="G5" s="88">
        <v>0</v>
      </c>
      <c r="H5" s="89">
        <f t="shared" si="0"/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 s="90">
        <f t="shared" si="3"/>
        <v>0</v>
      </c>
      <c r="S5" s="91">
        <f t="shared" si="4"/>
        <v>0</v>
      </c>
      <c r="T5" s="75">
        <v>6</v>
      </c>
      <c r="U5" s="91">
        <v>4462</v>
      </c>
      <c r="V5" s="91">
        <f t="shared" si="2"/>
        <v>26772</v>
      </c>
    </row>
    <row r="6" spans="1:22" s="83" customFormat="1">
      <c r="A6" s="96">
        <v>4</v>
      </c>
      <c r="B6" s="58">
        <v>193801</v>
      </c>
      <c r="C6" s="55" t="s">
        <v>66</v>
      </c>
      <c r="D6" s="63"/>
      <c r="E6" s="84">
        <v>0</v>
      </c>
      <c r="F6" s="84">
        <v>0</v>
      </c>
      <c r="G6" s="84">
        <v>0</v>
      </c>
      <c r="H6" s="85">
        <f t="shared" si="0"/>
        <v>0</v>
      </c>
      <c r="I6" s="86">
        <v>20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f t="shared" si="3"/>
        <v>0</v>
      </c>
      <c r="S6" s="87">
        <f t="shared" si="4"/>
        <v>4</v>
      </c>
      <c r="T6" s="75">
        <v>9</v>
      </c>
      <c r="U6" s="87">
        <f t="shared" ref="U6:U10" si="5">+SUM(I6:S6)</f>
        <v>24</v>
      </c>
      <c r="V6" s="87">
        <f t="shared" si="2"/>
        <v>216</v>
      </c>
    </row>
    <row r="7" spans="1:22" s="83" customFormat="1">
      <c r="A7" s="96">
        <v>5</v>
      </c>
      <c r="B7" s="58">
        <v>179634</v>
      </c>
      <c r="C7" s="55" t="s">
        <v>69</v>
      </c>
      <c r="D7" s="63"/>
      <c r="E7" s="84">
        <v>0</v>
      </c>
      <c r="F7" s="84">
        <v>0</v>
      </c>
      <c r="G7" s="84">
        <v>0</v>
      </c>
      <c r="H7" s="85">
        <f t="shared" si="0"/>
        <v>0</v>
      </c>
      <c r="I7" s="86">
        <v>12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f t="shared" si="3"/>
        <v>0</v>
      </c>
      <c r="S7" s="87">
        <f t="shared" si="4"/>
        <v>2.4000000000000004</v>
      </c>
      <c r="T7" s="75">
        <v>21</v>
      </c>
      <c r="U7" s="87">
        <f t="shared" si="5"/>
        <v>14.4</v>
      </c>
      <c r="V7" s="87">
        <f t="shared" si="2"/>
        <v>302.40000000000003</v>
      </c>
    </row>
    <row r="8" spans="1:22" s="83" customFormat="1">
      <c r="A8" s="96">
        <v>6</v>
      </c>
      <c r="B8" s="58">
        <v>193803</v>
      </c>
      <c r="C8" s="55" t="s">
        <v>71</v>
      </c>
      <c r="D8" s="63"/>
      <c r="E8" s="84">
        <v>0</v>
      </c>
      <c r="F8" s="84">
        <v>0</v>
      </c>
      <c r="G8" s="84">
        <v>0</v>
      </c>
      <c r="H8" s="85">
        <f t="shared" si="0"/>
        <v>0</v>
      </c>
      <c r="I8" s="86">
        <v>35</v>
      </c>
      <c r="J8" s="86">
        <v>0</v>
      </c>
      <c r="K8" s="86">
        <v>0</v>
      </c>
      <c r="L8" s="86">
        <v>0</v>
      </c>
      <c r="M8" s="86">
        <v>0</v>
      </c>
      <c r="N8" s="86">
        <v>0</v>
      </c>
      <c r="O8" s="86">
        <v>0</v>
      </c>
      <c r="P8" s="86">
        <v>0</v>
      </c>
      <c r="Q8" s="86">
        <v>0</v>
      </c>
      <c r="R8" s="86">
        <f t="shared" si="3"/>
        <v>0</v>
      </c>
      <c r="S8" s="87">
        <f t="shared" si="4"/>
        <v>7</v>
      </c>
      <c r="T8" s="75">
        <v>12</v>
      </c>
      <c r="U8" s="87">
        <f t="shared" si="5"/>
        <v>42</v>
      </c>
      <c r="V8" s="87">
        <f t="shared" si="2"/>
        <v>504</v>
      </c>
    </row>
    <row r="9" spans="1:22" s="83" customFormat="1">
      <c r="A9" s="96">
        <v>7</v>
      </c>
      <c r="B9" s="58">
        <v>4326493701</v>
      </c>
      <c r="C9" s="55" t="s">
        <v>73</v>
      </c>
      <c r="D9" s="63"/>
      <c r="E9" s="84">
        <v>0</v>
      </c>
      <c r="F9" s="84">
        <v>0</v>
      </c>
      <c r="G9" s="84">
        <v>0</v>
      </c>
      <c r="H9" s="85">
        <f t="shared" si="0"/>
        <v>0</v>
      </c>
      <c r="I9" s="86">
        <f t="shared" ref="I9" si="6">H9*320</f>
        <v>0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  <c r="O9" s="86">
        <v>0</v>
      </c>
      <c r="P9" s="86">
        <v>0</v>
      </c>
      <c r="Q9" s="86">
        <v>0</v>
      </c>
      <c r="R9" s="86">
        <f t="shared" si="3"/>
        <v>0</v>
      </c>
      <c r="S9" s="87">
        <f t="shared" si="4"/>
        <v>0</v>
      </c>
      <c r="T9" s="75">
        <v>12</v>
      </c>
      <c r="U9" s="87">
        <v>200</v>
      </c>
      <c r="V9" s="87">
        <f t="shared" si="2"/>
        <v>2400</v>
      </c>
    </row>
    <row r="10" spans="1:22" s="83" customFormat="1">
      <c r="A10" s="76">
        <v>8</v>
      </c>
      <c r="B10" s="58" t="s">
        <v>75</v>
      </c>
      <c r="C10" s="55" t="s">
        <v>76</v>
      </c>
      <c r="D10" s="63"/>
      <c r="E10" s="84">
        <v>0</v>
      </c>
      <c r="F10" s="84">
        <v>0</v>
      </c>
      <c r="G10" s="84">
        <v>0</v>
      </c>
      <c r="H10" s="85">
        <f t="shared" si="0"/>
        <v>0</v>
      </c>
      <c r="I10" s="86">
        <v>22</v>
      </c>
      <c r="J10" s="86">
        <v>0</v>
      </c>
      <c r="K10" s="86">
        <v>0</v>
      </c>
      <c r="L10" s="86">
        <v>0</v>
      </c>
      <c r="M10" s="86">
        <v>0</v>
      </c>
      <c r="N10" s="86">
        <v>0</v>
      </c>
      <c r="O10" s="86">
        <v>0</v>
      </c>
      <c r="P10" s="86">
        <v>0</v>
      </c>
      <c r="Q10" s="86">
        <v>0</v>
      </c>
      <c r="R10" s="86">
        <f t="shared" si="3"/>
        <v>0</v>
      </c>
      <c r="S10" s="87">
        <f t="shared" si="4"/>
        <v>4.4000000000000004</v>
      </c>
      <c r="T10" s="75">
        <v>12</v>
      </c>
      <c r="U10" s="87">
        <f t="shared" si="5"/>
        <v>26.4</v>
      </c>
      <c r="V10" s="87">
        <f t="shared" si="2"/>
        <v>316.79999999999995</v>
      </c>
    </row>
    <row r="11" spans="1:22" s="83" customFormat="1" ht="13.3"/>
    <row r="12" spans="1:22" s="83" customFormat="1" ht="13.85">
      <c r="S12" s="176"/>
      <c r="T12" s="176"/>
      <c r="U12" s="176"/>
      <c r="V12" s="127">
        <f>SUM(V3:V11)</f>
        <v>95089.2</v>
      </c>
    </row>
    <row r="13" spans="1:22" ht="14.95">
      <c r="S13" s="177"/>
      <c r="T13" s="177"/>
      <c r="U13" s="178" t="s">
        <v>116</v>
      </c>
      <c r="V13" s="127">
        <f>V12*5%</f>
        <v>4754.46</v>
      </c>
    </row>
    <row r="14" spans="1:22" ht="14.95">
      <c r="S14" s="177"/>
      <c r="T14" s="177"/>
      <c r="U14" s="179" t="s">
        <v>19</v>
      </c>
      <c r="V14" s="40">
        <f>SUM(V12:V13)</f>
        <v>99843.66</v>
      </c>
    </row>
  </sheetData>
  <mergeCells count="1"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V13"/>
  <sheetViews>
    <sheetView workbookViewId="0">
      <selection activeCell="V14" sqref="V14"/>
    </sheetView>
  </sheetViews>
  <sheetFormatPr defaultRowHeight="14.4"/>
  <cols>
    <col min="1" max="1" width="3.09765625" bestFit="1" customWidth="1"/>
    <col min="2" max="2" width="11.8984375" bestFit="1" customWidth="1"/>
    <col min="3" max="3" width="30.3984375" bestFit="1" customWidth="1"/>
    <col min="4" max="4" width="7.69921875" bestFit="1" customWidth="1"/>
    <col min="5" max="7" width="5.69921875" customWidth="1"/>
    <col min="10" max="10" width="7.59765625" bestFit="1" customWidth="1"/>
    <col min="11" max="11" width="8.3984375" bestFit="1" customWidth="1"/>
    <col min="12" max="12" width="5" bestFit="1" customWidth="1"/>
    <col min="13" max="13" width="7.09765625" bestFit="1" customWidth="1"/>
    <col min="14" max="14" width="6.69921875" bestFit="1" customWidth="1"/>
    <col min="18" max="18" width="6.19921875" bestFit="1" customWidth="1"/>
    <col min="20" max="20" width="4" bestFit="1" customWidth="1"/>
    <col min="21" max="21" width="7.19921875" customWidth="1"/>
    <col min="22" max="22" width="6.3984375" bestFit="1" customWidth="1"/>
  </cols>
  <sheetData>
    <row r="2" spans="1:22" s="83" customFormat="1" ht="38.25">
      <c r="A2" s="30" t="s">
        <v>112</v>
      </c>
      <c r="B2" s="60" t="s">
        <v>113</v>
      </c>
      <c r="C2" s="60" t="s">
        <v>14</v>
      </c>
      <c r="D2" s="60" t="s">
        <v>29</v>
      </c>
      <c r="E2" s="173" t="s">
        <v>30</v>
      </c>
      <c r="F2" s="173"/>
      <c r="G2" s="173"/>
      <c r="H2" s="81" t="s">
        <v>31</v>
      </c>
      <c r="I2" s="82" t="s">
        <v>32</v>
      </c>
      <c r="J2" s="30" t="s">
        <v>33</v>
      </c>
      <c r="K2" s="30" t="s">
        <v>34</v>
      </c>
      <c r="L2" s="30" t="s">
        <v>35</v>
      </c>
      <c r="M2" s="81" t="s">
        <v>36</v>
      </c>
      <c r="N2" s="81" t="s">
        <v>37</v>
      </c>
      <c r="O2" s="81" t="s">
        <v>38</v>
      </c>
      <c r="P2" s="30" t="s">
        <v>44</v>
      </c>
      <c r="Q2" s="30" t="s">
        <v>43</v>
      </c>
      <c r="R2" s="81" t="s">
        <v>39</v>
      </c>
      <c r="S2" s="30" t="s">
        <v>40</v>
      </c>
      <c r="T2" s="30" t="s">
        <v>41</v>
      </c>
      <c r="U2" s="30" t="s">
        <v>42</v>
      </c>
      <c r="V2" s="30" t="s">
        <v>45</v>
      </c>
    </row>
    <row r="3" spans="1:22" s="83" customFormat="1">
      <c r="A3" s="76">
        <v>1</v>
      </c>
      <c r="B3" s="123">
        <v>4332033801</v>
      </c>
      <c r="C3" s="53" t="s">
        <v>56</v>
      </c>
      <c r="D3" s="63"/>
      <c r="E3" s="84">
        <v>0</v>
      </c>
      <c r="F3" s="84">
        <v>0</v>
      </c>
      <c r="G3" s="84">
        <v>0</v>
      </c>
      <c r="H3" s="85">
        <f t="shared" ref="H3:H10" si="0">+E3*F3*G3*8.55/1000000</f>
        <v>0</v>
      </c>
      <c r="I3" s="86">
        <f t="shared" ref="I3" si="1">H3*320</f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f>H3*30</f>
        <v>0</v>
      </c>
      <c r="S3" s="87">
        <f>SUM(I3:R3)*20%</f>
        <v>0</v>
      </c>
      <c r="T3" s="74">
        <v>1</v>
      </c>
      <c r="U3" s="87">
        <f t="shared" ref="U3" si="2">+SUM(I3:S3)</f>
        <v>0</v>
      </c>
      <c r="V3" s="87">
        <f t="shared" ref="V3:V10" si="3">U3*T3</f>
        <v>0</v>
      </c>
    </row>
    <row r="4" spans="1:22" s="83" customFormat="1">
      <c r="A4" s="94">
        <v>2</v>
      </c>
      <c r="B4" s="56">
        <v>4332033201</v>
      </c>
      <c r="C4" s="115" t="s">
        <v>61</v>
      </c>
      <c r="D4" s="34"/>
      <c r="E4" s="88">
        <v>0</v>
      </c>
      <c r="F4" s="88">
        <v>0</v>
      </c>
      <c r="G4" s="88">
        <v>0</v>
      </c>
      <c r="H4" s="89">
        <f t="shared" si="0"/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  <c r="P4" s="90">
        <v>0</v>
      </c>
      <c r="Q4" s="90">
        <v>0</v>
      </c>
      <c r="R4" s="90">
        <f t="shared" ref="R4:R10" si="4">H4*30</f>
        <v>0</v>
      </c>
      <c r="S4" s="91">
        <f t="shared" ref="S4:S10" si="5">SUM(I4:R4)*20%</f>
        <v>0</v>
      </c>
      <c r="T4" s="75">
        <v>1</v>
      </c>
      <c r="U4" s="91">
        <v>21526</v>
      </c>
      <c r="V4" s="91">
        <f t="shared" si="3"/>
        <v>21526</v>
      </c>
    </row>
    <row r="5" spans="1:22" s="83" customFormat="1">
      <c r="A5" s="94">
        <v>3</v>
      </c>
      <c r="B5" s="56">
        <v>4326153101</v>
      </c>
      <c r="C5" s="115" t="s">
        <v>64</v>
      </c>
      <c r="D5" s="34"/>
      <c r="E5" s="88">
        <v>0</v>
      </c>
      <c r="F5" s="88">
        <v>0</v>
      </c>
      <c r="G5" s="88">
        <v>0</v>
      </c>
      <c r="H5" s="89">
        <f t="shared" si="0"/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 s="90">
        <f t="shared" si="4"/>
        <v>0</v>
      </c>
      <c r="S5" s="91">
        <f t="shared" si="5"/>
        <v>0</v>
      </c>
      <c r="T5" s="75">
        <v>2</v>
      </c>
      <c r="U5" s="91">
        <v>4462</v>
      </c>
      <c r="V5" s="91">
        <f t="shared" si="3"/>
        <v>8924</v>
      </c>
    </row>
    <row r="6" spans="1:22" s="83" customFormat="1">
      <c r="A6" s="96">
        <v>4</v>
      </c>
      <c r="B6" s="58">
        <v>193801</v>
      </c>
      <c r="C6" s="55" t="s">
        <v>66</v>
      </c>
      <c r="D6" s="99"/>
      <c r="E6" s="100">
        <v>0</v>
      </c>
      <c r="F6" s="100">
        <v>0</v>
      </c>
      <c r="G6" s="100">
        <v>0</v>
      </c>
      <c r="H6" s="101">
        <f t="shared" si="0"/>
        <v>0</v>
      </c>
      <c r="I6" s="102">
        <v>22</v>
      </c>
      <c r="J6" s="102">
        <v>0</v>
      </c>
      <c r="K6" s="102">
        <v>0</v>
      </c>
      <c r="L6" s="102">
        <v>0</v>
      </c>
      <c r="M6" s="102">
        <v>0</v>
      </c>
      <c r="N6" s="102">
        <v>0</v>
      </c>
      <c r="O6" s="102">
        <v>0</v>
      </c>
      <c r="P6" s="102">
        <v>0</v>
      </c>
      <c r="Q6" s="102">
        <v>0</v>
      </c>
      <c r="R6" s="102">
        <f t="shared" si="4"/>
        <v>0</v>
      </c>
      <c r="S6" s="103">
        <f t="shared" si="5"/>
        <v>4.4000000000000004</v>
      </c>
      <c r="T6" s="75">
        <v>3</v>
      </c>
      <c r="U6" s="103">
        <f t="shared" ref="U6:U10" si="6">+SUM(I6:S6)</f>
        <v>26.4</v>
      </c>
      <c r="V6" s="103">
        <f t="shared" si="3"/>
        <v>79.199999999999989</v>
      </c>
    </row>
    <row r="7" spans="1:22" s="83" customFormat="1">
      <c r="A7" s="96">
        <v>5</v>
      </c>
      <c r="B7" s="58">
        <v>179634</v>
      </c>
      <c r="C7" s="55" t="s">
        <v>69</v>
      </c>
      <c r="D7" s="99"/>
      <c r="E7" s="100">
        <v>0</v>
      </c>
      <c r="F7" s="100">
        <v>0</v>
      </c>
      <c r="G7" s="100">
        <v>0</v>
      </c>
      <c r="H7" s="101">
        <f t="shared" si="0"/>
        <v>0</v>
      </c>
      <c r="I7" s="102">
        <v>12</v>
      </c>
      <c r="J7" s="102">
        <v>0</v>
      </c>
      <c r="K7" s="102">
        <v>0</v>
      </c>
      <c r="L7" s="102">
        <v>0</v>
      </c>
      <c r="M7" s="102">
        <v>0</v>
      </c>
      <c r="N7" s="102">
        <v>0</v>
      </c>
      <c r="O7" s="102">
        <v>0</v>
      </c>
      <c r="P7" s="102">
        <v>0</v>
      </c>
      <c r="Q7" s="102">
        <v>0</v>
      </c>
      <c r="R7" s="102">
        <f t="shared" si="4"/>
        <v>0</v>
      </c>
      <c r="S7" s="103">
        <f t="shared" si="5"/>
        <v>2.4000000000000004</v>
      </c>
      <c r="T7" s="75">
        <v>7</v>
      </c>
      <c r="U7" s="103">
        <f t="shared" si="6"/>
        <v>14.4</v>
      </c>
      <c r="V7" s="103">
        <f t="shared" si="3"/>
        <v>100.8</v>
      </c>
    </row>
    <row r="8" spans="1:22" s="83" customFormat="1">
      <c r="A8" s="96">
        <v>6</v>
      </c>
      <c r="B8" s="58">
        <v>193803</v>
      </c>
      <c r="C8" s="55" t="s">
        <v>71</v>
      </c>
      <c r="D8" s="99"/>
      <c r="E8" s="100">
        <v>0</v>
      </c>
      <c r="F8" s="100">
        <v>0</v>
      </c>
      <c r="G8" s="100">
        <v>0</v>
      </c>
      <c r="H8" s="101">
        <f t="shared" si="0"/>
        <v>0</v>
      </c>
      <c r="I8" s="102">
        <v>45</v>
      </c>
      <c r="J8" s="102">
        <v>0</v>
      </c>
      <c r="K8" s="102">
        <v>0</v>
      </c>
      <c r="L8" s="102">
        <v>0</v>
      </c>
      <c r="M8" s="102">
        <v>0</v>
      </c>
      <c r="N8" s="102">
        <v>0</v>
      </c>
      <c r="O8" s="102">
        <v>0</v>
      </c>
      <c r="P8" s="102">
        <v>0</v>
      </c>
      <c r="Q8" s="102">
        <v>0</v>
      </c>
      <c r="R8" s="102">
        <f t="shared" si="4"/>
        <v>0</v>
      </c>
      <c r="S8" s="103">
        <f t="shared" si="5"/>
        <v>9</v>
      </c>
      <c r="T8" s="75">
        <v>4</v>
      </c>
      <c r="U8" s="103">
        <f t="shared" si="6"/>
        <v>54</v>
      </c>
      <c r="V8" s="103">
        <f t="shared" si="3"/>
        <v>216</v>
      </c>
    </row>
    <row r="9" spans="1:22" s="83" customFormat="1">
      <c r="A9" s="96">
        <v>7</v>
      </c>
      <c r="B9" s="58">
        <v>4326493701</v>
      </c>
      <c r="C9" s="55" t="s">
        <v>73</v>
      </c>
      <c r="D9" s="99"/>
      <c r="E9" s="100">
        <v>0</v>
      </c>
      <c r="F9" s="100">
        <v>0</v>
      </c>
      <c r="G9" s="100">
        <v>0</v>
      </c>
      <c r="H9" s="101">
        <f t="shared" si="0"/>
        <v>0</v>
      </c>
      <c r="I9" s="102">
        <f t="shared" ref="I9" si="7">H9*320</f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f t="shared" si="4"/>
        <v>0</v>
      </c>
      <c r="S9" s="103">
        <f t="shared" si="5"/>
        <v>0</v>
      </c>
      <c r="T9" s="75">
        <v>4</v>
      </c>
      <c r="U9" s="103">
        <v>200</v>
      </c>
      <c r="V9" s="103">
        <f t="shared" si="3"/>
        <v>800</v>
      </c>
    </row>
    <row r="10" spans="1:22" s="83" customFormat="1">
      <c r="A10" s="76">
        <v>8</v>
      </c>
      <c r="B10" s="58" t="s">
        <v>75</v>
      </c>
      <c r="C10" s="55" t="s">
        <v>76</v>
      </c>
      <c r="D10" s="63"/>
      <c r="E10" s="84">
        <v>0</v>
      </c>
      <c r="F10" s="84">
        <v>0</v>
      </c>
      <c r="G10" s="84">
        <v>0</v>
      </c>
      <c r="H10" s="85">
        <f t="shared" si="0"/>
        <v>0</v>
      </c>
      <c r="I10" s="86">
        <v>22</v>
      </c>
      <c r="J10" s="86">
        <v>0</v>
      </c>
      <c r="K10" s="86">
        <v>0</v>
      </c>
      <c r="L10" s="86">
        <v>0</v>
      </c>
      <c r="M10" s="86">
        <v>0</v>
      </c>
      <c r="N10" s="86">
        <v>0</v>
      </c>
      <c r="O10" s="86">
        <v>0</v>
      </c>
      <c r="P10" s="86">
        <v>0</v>
      </c>
      <c r="Q10" s="86">
        <v>0</v>
      </c>
      <c r="R10" s="86">
        <f t="shared" si="4"/>
        <v>0</v>
      </c>
      <c r="S10" s="87">
        <f t="shared" si="5"/>
        <v>4.4000000000000004</v>
      </c>
      <c r="T10" s="75">
        <v>4</v>
      </c>
      <c r="U10" s="87">
        <f t="shared" si="6"/>
        <v>26.4</v>
      </c>
      <c r="V10" s="87">
        <f t="shared" si="3"/>
        <v>105.6</v>
      </c>
    </row>
    <row r="11" spans="1:22" s="83" customFormat="1" ht="13.85">
      <c r="V11" s="127">
        <f>SUM(V3:V10)</f>
        <v>31751.599999999999</v>
      </c>
    </row>
    <row r="12" spans="1:22" ht="14.95">
      <c r="U12" s="178" t="s">
        <v>116</v>
      </c>
      <c r="V12" s="127">
        <f>V11*5%</f>
        <v>1587.58</v>
      </c>
    </row>
    <row r="13" spans="1:22" ht="14.95">
      <c r="U13" s="179" t="s">
        <v>19</v>
      </c>
      <c r="V13" s="40">
        <f>SUM(V11:V12)</f>
        <v>33339.18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Quotation</vt:lpstr>
      <vt:lpstr>Sheet1</vt:lpstr>
      <vt:lpstr>4327059803</vt:lpstr>
      <vt:lpstr>4327083503</vt:lpstr>
      <vt:lpstr>4327033201</vt:lpstr>
      <vt:lpstr>4322369101</vt:lpstr>
      <vt:lpstr>4353703501</vt:lpstr>
      <vt:lpstr>4332033801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Maghade, Sagar</dc:creator>
  <cp:lastModifiedBy>milind potdar</cp:lastModifiedBy>
  <cp:lastPrinted>2025-11-15T07:43:23Z</cp:lastPrinted>
  <dcterms:created xsi:type="dcterms:W3CDTF">2025-05-05T11:27:00Z</dcterms:created>
  <dcterms:modified xsi:type="dcterms:W3CDTF">2025-11-15T07:43:49Z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480757-a570-4f64-84e7-c5b3ffe9d573_Enabled">
    <vt:lpwstr>true</vt:lpwstr>
  </property>
  <property fmtid="{D5CDD505-2E9C-101B-9397-08002B2CF9AE}" pid="3" name="MSIP_Label_94480757-a570-4f64-84e7-c5b3ffe9d573_SetDate">
    <vt:lpwstr>2025-05-05T11:47:09Z</vt:lpwstr>
  </property>
  <property fmtid="{D5CDD505-2E9C-101B-9397-08002B2CF9AE}" pid="4" name="MSIP_Label_94480757-a570-4f64-84e7-c5b3ffe9d573_Method">
    <vt:lpwstr>Privileged</vt:lpwstr>
  </property>
  <property fmtid="{D5CDD505-2E9C-101B-9397-08002B2CF9AE}" pid="5" name="MSIP_Label_94480757-a570-4f64-84e7-c5b3ffe9d573_Name">
    <vt:lpwstr>General</vt:lpwstr>
  </property>
  <property fmtid="{D5CDD505-2E9C-101B-9397-08002B2CF9AE}" pid="6" name="MSIP_Label_94480757-a570-4f64-84e7-c5b3ffe9d573_SiteId">
    <vt:lpwstr>2390cbd1-e663-4321-bc93-ba298637ce52</vt:lpwstr>
  </property>
  <property fmtid="{D5CDD505-2E9C-101B-9397-08002B2CF9AE}" pid="7" name="MSIP_Label_94480757-a570-4f64-84e7-c5b3ffe9d573_ActionId">
    <vt:lpwstr>e77ac861-4fcb-4943-ab15-9bb9b5b0a103</vt:lpwstr>
  </property>
  <property fmtid="{D5CDD505-2E9C-101B-9397-08002B2CF9AE}" pid="8" name="MSIP_Label_94480757-a570-4f64-84e7-c5b3ffe9d573_ContentBits">
    <vt:lpwstr>2</vt:lpwstr>
  </property>
  <property fmtid="{D5CDD505-2E9C-101B-9397-08002B2CF9AE}" pid="9" name="MSIP_Label_94480757-a570-4f64-84e7-c5b3ffe9d573_Tag">
    <vt:lpwstr>10, 0, 1, 1</vt:lpwstr>
  </property>
  <property fmtid="{D5CDD505-2E9C-101B-9397-08002B2CF9AE}" pid="10" name="ICV">
    <vt:lpwstr>9CCC830FDA6A40439757754840154F0B_13</vt:lpwstr>
  </property>
  <property fmtid="{D5CDD505-2E9C-101B-9397-08002B2CF9AE}" pid="11" name="KSOProductBuildVer">
    <vt:lpwstr>1033-12.2.0.23131</vt:lpwstr>
  </property>
</Properties>
</file>