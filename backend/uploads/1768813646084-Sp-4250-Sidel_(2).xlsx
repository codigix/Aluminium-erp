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0215" windowHeight="6090"/>
  </bookViews>
  <sheets>
    <sheet name="Quotation" sheetId="1" r:id="rId1"/>
    <sheet name="SHEET 2" sheetId="2" r:id="rId2"/>
    <sheet name="22" sheetId="3" r:id="rId3"/>
    <sheet name="25" sheetId="4" r:id="rId4"/>
    <sheet name="29" sheetId="5" r:id="rId5"/>
    <sheet name="62" sheetId="6" r:id="rId6"/>
    <sheet name="SHEET 3" sheetId="7" r:id="rId7"/>
  </sheets>
  <calcPr calcId="144525"/>
</workbook>
</file>

<file path=xl/calcChain.xml><?xml version="1.0" encoding="utf-8"?>
<calcChain xmlns="http://schemas.openxmlformats.org/spreadsheetml/2006/main">
  <c r="M19" i="2" l="1"/>
  <c r="R24" i="2"/>
  <c r="Q24" i="2"/>
  <c r="N24" i="2"/>
  <c r="S24" i="2"/>
  <c r="U24" i="2" s="1"/>
  <c r="V24" i="2" s="1"/>
  <c r="H6" i="3"/>
  <c r="I6" i="3" s="1"/>
  <c r="H5" i="3"/>
  <c r="H4" i="3"/>
  <c r="I4" i="3" s="1"/>
  <c r="H3" i="3"/>
  <c r="I3" i="3" s="1"/>
  <c r="H7" i="3"/>
  <c r="I7" i="3" s="1"/>
  <c r="I5" i="3"/>
  <c r="E15" i="1" l="1"/>
  <c r="F15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2" i="1"/>
  <c r="F42" i="1" s="1"/>
  <c r="E41" i="1"/>
  <c r="F41" i="1" s="1"/>
  <c r="E40" i="1"/>
  <c r="F40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V26" i="2"/>
  <c r="M105" i="2"/>
  <c r="H105" i="2"/>
  <c r="I105" i="2" s="1"/>
  <c r="H104" i="2"/>
  <c r="I104" i="2" s="1"/>
  <c r="H103" i="2"/>
  <c r="I103" i="2" s="1"/>
  <c r="H102" i="2"/>
  <c r="I101" i="2"/>
  <c r="H101" i="2"/>
  <c r="M92" i="2"/>
  <c r="H92" i="2"/>
  <c r="I92" i="2" s="1"/>
  <c r="M91" i="2"/>
  <c r="H91" i="2"/>
  <c r="I91" i="2" s="1"/>
  <c r="M90" i="2"/>
  <c r="I88" i="2"/>
  <c r="H88" i="2"/>
  <c r="R88" i="2" s="1"/>
  <c r="I86" i="2"/>
  <c r="H86" i="2"/>
  <c r="S86" i="2"/>
  <c r="U86" i="2" s="1"/>
  <c r="V86" i="2" s="1"/>
  <c r="H85" i="2"/>
  <c r="I85" i="2" s="1"/>
  <c r="H84" i="2"/>
  <c r="I84" i="2" s="1"/>
  <c r="R81" i="2"/>
  <c r="N81" i="2"/>
  <c r="I81" i="2"/>
  <c r="H81" i="2"/>
  <c r="I79" i="2"/>
  <c r="H79" i="2"/>
  <c r="H78" i="2"/>
  <c r="I78" i="2" s="1"/>
  <c r="S78" i="2" s="1"/>
  <c r="I76" i="2"/>
  <c r="H76" i="2"/>
  <c r="N74" i="2"/>
  <c r="M74" i="2"/>
  <c r="H74" i="2"/>
  <c r="R74" i="2" s="1"/>
  <c r="I73" i="2"/>
  <c r="H73" i="2"/>
  <c r="I72" i="2"/>
  <c r="H72" i="2"/>
  <c r="N70" i="2"/>
  <c r="N71" i="2"/>
  <c r="M71" i="2"/>
  <c r="H71" i="2"/>
  <c r="R71" i="2" s="1"/>
  <c r="M70" i="2"/>
  <c r="H70" i="2"/>
  <c r="I70" i="2" s="1"/>
  <c r="H68" i="2"/>
  <c r="E66" i="2"/>
  <c r="H61" i="2"/>
  <c r="I61" i="2" s="1"/>
  <c r="H60" i="2"/>
  <c r="I60" i="2" s="1"/>
  <c r="I71" i="2" l="1"/>
  <c r="S71" i="2" s="1"/>
  <c r="U71" i="2" s="1"/>
  <c r="V71" i="2" s="1"/>
  <c r="I74" i="2"/>
  <c r="R70" i="2"/>
  <c r="S70" i="2" s="1"/>
  <c r="U70" i="2" s="1"/>
  <c r="V70" i="2" s="1"/>
  <c r="E55" i="2"/>
  <c r="M54" i="2"/>
  <c r="H54" i="2"/>
  <c r="I54" i="2" s="1"/>
  <c r="L53" i="2"/>
  <c r="N53" i="2"/>
  <c r="H53" i="2"/>
  <c r="I53" i="2" s="1"/>
  <c r="H52" i="2"/>
  <c r="I52" i="2" s="1"/>
  <c r="S52" i="2" s="1"/>
  <c r="I51" i="2"/>
  <c r="H51" i="2"/>
  <c r="M49" i="2"/>
  <c r="M48" i="2"/>
  <c r="O47" i="2"/>
  <c r="N47" i="2"/>
  <c r="M47" i="2"/>
  <c r="E45" i="2"/>
  <c r="H45" i="2"/>
  <c r="I45" i="2" s="1"/>
  <c r="M42" i="2"/>
  <c r="M39" i="2"/>
  <c r="M38" i="2"/>
  <c r="H39" i="2"/>
  <c r="I39" i="2" s="1"/>
  <c r="H38" i="2"/>
  <c r="R38" i="2" s="1"/>
  <c r="N37" i="2"/>
  <c r="L37" i="2"/>
  <c r="M36" i="2"/>
  <c r="H34" i="2"/>
  <c r="I34" i="2" s="1"/>
  <c r="N33" i="2"/>
  <c r="I38" i="2" l="1"/>
  <c r="R45" i="2"/>
  <c r="R39" i="2"/>
  <c r="H30" i="2" l="1"/>
  <c r="I30" i="2" s="1"/>
  <c r="N22" i="2"/>
  <c r="H21" i="2"/>
  <c r="I21" i="2" s="1"/>
  <c r="N19" i="2"/>
  <c r="L19" i="2"/>
  <c r="N17" i="2"/>
  <c r="M17" i="2"/>
  <c r="H17" i="2"/>
  <c r="R17" i="2" s="1"/>
  <c r="H16" i="2"/>
  <c r="I16" i="2" s="1"/>
  <c r="M15" i="2"/>
  <c r="H15" i="2"/>
  <c r="I15" i="2" s="1"/>
  <c r="N10" i="2"/>
  <c r="M10" i="2"/>
  <c r="H10" i="2"/>
  <c r="I10" i="2" s="1"/>
  <c r="S10" i="2" s="1"/>
  <c r="H9" i="2"/>
  <c r="I9" i="2" s="1"/>
  <c r="H7" i="2"/>
  <c r="R7" i="2" s="1"/>
  <c r="H3" i="6"/>
  <c r="I3" i="6" s="1"/>
  <c r="H2" i="6"/>
  <c r="I2" i="6" s="1"/>
  <c r="H4" i="5"/>
  <c r="I4" i="5" s="1"/>
  <c r="H3" i="5"/>
  <c r="I3" i="5" s="1"/>
  <c r="H2" i="5"/>
  <c r="I2" i="5" s="1"/>
  <c r="H4" i="4"/>
  <c r="I4" i="4" s="1"/>
  <c r="H3" i="4"/>
  <c r="I3" i="4" s="1"/>
  <c r="H2" i="4"/>
  <c r="I2" i="4" s="1"/>
  <c r="H2" i="3"/>
  <c r="I102" i="2"/>
  <c r="U100" i="2"/>
  <c r="V100" i="2" s="1"/>
  <c r="V99" i="2"/>
  <c r="H98" i="2"/>
  <c r="V97" i="2"/>
  <c r="V96" i="2"/>
  <c r="V95" i="2"/>
  <c r="H94" i="2"/>
  <c r="V93" i="2"/>
  <c r="H93" i="2"/>
  <c r="I93" i="2" s="1"/>
  <c r="S93" i="2" s="1"/>
  <c r="H90" i="2"/>
  <c r="H89" i="2"/>
  <c r="V87" i="2"/>
  <c r="S84" i="2"/>
  <c r="U84" i="2" s="1"/>
  <c r="V84" i="2" s="1"/>
  <c r="H83" i="2"/>
  <c r="I83" i="2" s="1"/>
  <c r="H82" i="2"/>
  <c r="I82" i="2" s="1"/>
  <c r="V80" i="2"/>
  <c r="H80" i="2"/>
  <c r="I80" i="2" s="1"/>
  <c r="S80" i="2" s="1"/>
  <c r="H77" i="2"/>
  <c r="I77" i="2" s="1"/>
  <c r="S77" i="2" s="1"/>
  <c r="H75" i="2"/>
  <c r="I75" i="2" s="1"/>
  <c r="S73" i="2"/>
  <c r="H69" i="2"/>
  <c r="I69" i="2" s="1"/>
  <c r="S69" i="2" s="1"/>
  <c r="I68" i="2"/>
  <c r="S68" i="2" s="1"/>
  <c r="H67" i="2"/>
  <c r="I67" i="2" s="1"/>
  <c r="H66" i="2"/>
  <c r="I66" i="2" s="1"/>
  <c r="H65" i="2"/>
  <c r="I65" i="2" s="1"/>
  <c r="S65" i="2" s="1"/>
  <c r="H64" i="2"/>
  <c r="H63" i="2"/>
  <c r="H62" i="2"/>
  <c r="S61" i="2"/>
  <c r="H59" i="2"/>
  <c r="H58" i="2"/>
  <c r="H57" i="2"/>
  <c r="H56" i="2"/>
  <c r="H55" i="2"/>
  <c r="V52" i="2"/>
  <c r="V50" i="2"/>
  <c r="H50" i="2"/>
  <c r="I50" i="2" s="1"/>
  <c r="S50" i="2" s="1"/>
  <c r="H49" i="2"/>
  <c r="H48" i="2"/>
  <c r="H47" i="2"/>
  <c r="H46" i="2"/>
  <c r="I46" i="2" s="1"/>
  <c r="S45" i="2"/>
  <c r="U45" i="2" s="1"/>
  <c r="V45" i="2" s="1"/>
  <c r="V44" i="2"/>
  <c r="H44" i="2"/>
  <c r="I44" i="2" s="1"/>
  <c r="S44" i="2" s="1"/>
  <c r="H43" i="2"/>
  <c r="I43" i="2" s="1"/>
  <c r="H42" i="2"/>
  <c r="H41" i="2"/>
  <c r="H40" i="2"/>
  <c r="H37" i="2"/>
  <c r="H36" i="2"/>
  <c r="H35" i="2"/>
  <c r="I35" i="2" s="1"/>
  <c r="S34" i="2"/>
  <c r="H33" i="2"/>
  <c r="H32" i="2"/>
  <c r="I32" i="2" s="1"/>
  <c r="H31" i="2"/>
  <c r="R31" i="2" s="1"/>
  <c r="H29" i="2"/>
  <c r="R29" i="2" s="1"/>
  <c r="V28" i="2"/>
  <c r="H28" i="2"/>
  <c r="I28" i="2" s="1"/>
  <c r="S28" i="2" s="1"/>
  <c r="H27" i="2"/>
  <c r="I27" i="2" s="1"/>
  <c r="H26" i="2"/>
  <c r="I26" i="2" s="1"/>
  <c r="V25" i="2"/>
  <c r="H25" i="2"/>
  <c r="H23" i="2"/>
  <c r="R23" i="2" s="1"/>
  <c r="H22" i="2"/>
  <c r="I22" i="2" s="1"/>
  <c r="H20" i="2"/>
  <c r="I20" i="2" s="1"/>
  <c r="H19" i="2"/>
  <c r="I19" i="2" s="1"/>
  <c r="H18" i="2"/>
  <c r="R18" i="2" s="1"/>
  <c r="H14" i="2"/>
  <c r="I14" i="2" s="1"/>
  <c r="H13" i="2"/>
  <c r="I13" i="2" s="1"/>
  <c r="H12" i="2"/>
  <c r="I12" i="2" s="1"/>
  <c r="H11" i="2"/>
  <c r="I11" i="2" s="1"/>
  <c r="H8" i="2"/>
  <c r="I8" i="2" s="1"/>
  <c r="I7" i="2"/>
  <c r="H6" i="2"/>
  <c r="I6" i="2" s="1"/>
  <c r="H5" i="2"/>
  <c r="I5" i="2" s="1"/>
  <c r="H4" i="2"/>
  <c r="I4" i="2" s="1"/>
  <c r="H3" i="2"/>
  <c r="I3" i="2" s="1"/>
  <c r="I2" i="3" l="1"/>
  <c r="I8" i="3" s="1"/>
  <c r="H8" i="3"/>
  <c r="S16" i="2"/>
  <c r="U16" i="2" s="1"/>
  <c r="V16" i="2" s="1"/>
  <c r="I36" i="2"/>
  <c r="R36" i="2"/>
  <c r="R42" i="2"/>
  <c r="I42" i="2"/>
  <c r="I49" i="2"/>
  <c r="R49" i="2"/>
  <c r="R55" i="2"/>
  <c r="I55" i="2"/>
  <c r="U59" i="2"/>
  <c r="V59" i="2" s="1"/>
  <c r="R59" i="2"/>
  <c r="I59" i="2"/>
  <c r="I64" i="2"/>
  <c r="S64" i="2" s="1"/>
  <c r="U64" i="2" s="1"/>
  <c r="V64" i="2" s="1"/>
  <c r="R64" i="2"/>
  <c r="I89" i="2"/>
  <c r="R89" i="2"/>
  <c r="I94" i="2"/>
  <c r="R94" i="2"/>
  <c r="R98" i="2"/>
  <c r="I98" i="2"/>
  <c r="R9" i="2"/>
  <c r="S9" i="2" s="1"/>
  <c r="U9" i="2" s="1"/>
  <c r="V9" i="2" s="1"/>
  <c r="R14" i="2"/>
  <c r="S14" i="2" s="1"/>
  <c r="U14" i="2" s="1"/>
  <c r="V14" i="2" s="1"/>
  <c r="R15" i="2"/>
  <c r="I18" i="2"/>
  <c r="S18" i="2" s="1"/>
  <c r="U18" i="2" s="1"/>
  <c r="V18" i="2" s="1"/>
  <c r="R22" i="2"/>
  <c r="I25" i="2"/>
  <c r="I29" i="2"/>
  <c r="I31" i="2"/>
  <c r="S31" i="2" s="1"/>
  <c r="R33" i="2"/>
  <c r="I33" i="2"/>
  <c r="I37" i="2"/>
  <c r="R37" i="2"/>
  <c r="S56" i="2"/>
  <c r="R56" i="2"/>
  <c r="I56" i="2"/>
  <c r="I90" i="2"/>
  <c r="S90" i="2" s="1"/>
  <c r="R90" i="2"/>
  <c r="R11" i="2"/>
  <c r="R21" i="2"/>
  <c r="S21" i="2" s="1"/>
  <c r="U21" i="2" s="1"/>
  <c r="V21" i="2" s="1"/>
  <c r="R25" i="2"/>
  <c r="S25" i="2" s="1"/>
  <c r="R40" i="2"/>
  <c r="I40" i="2"/>
  <c r="I47" i="2"/>
  <c r="S47" i="2" s="1"/>
  <c r="U47" i="2" s="1"/>
  <c r="V47" i="2" s="1"/>
  <c r="R47" i="2"/>
  <c r="R57" i="2"/>
  <c r="I57" i="2"/>
  <c r="I62" i="2"/>
  <c r="R62" i="2"/>
  <c r="R6" i="2"/>
  <c r="S6" i="2" s="1"/>
  <c r="U6" i="2" s="1"/>
  <c r="V6" i="2" s="1"/>
  <c r="R20" i="2"/>
  <c r="I23" i="2"/>
  <c r="I41" i="2"/>
  <c r="S41" i="2" s="1"/>
  <c r="R41" i="2"/>
  <c r="I48" i="2"/>
  <c r="R48" i="2"/>
  <c r="R58" i="2"/>
  <c r="I58" i="2"/>
  <c r="R63" i="2"/>
  <c r="I63" i="2"/>
  <c r="I17" i="2"/>
  <c r="S17" i="2" s="1"/>
  <c r="U17" i="2" s="1"/>
  <c r="V17" i="2" s="1"/>
  <c r="R27" i="2"/>
  <c r="S27" i="2" s="1"/>
  <c r="U27" i="2" s="1"/>
  <c r="R12" i="2"/>
  <c r="S12" i="2" s="1"/>
  <c r="U12" i="2" s="1"/>
  <c r="V12" i="2" s="1"/>
  <c r="S7" i="2"/>
  <c r="U7" i="2" s="1"/>
  <c r="V7" i="2" s="1"/>
  <c r="S3" i="2"/>
  <c r="U3" i="2" s="1"/>
  <c r="V3" i="2" s="1"/>
  <c r="S15" i="2"/>
  <c r="U15" i="2" s="1"/>
  <c r="V15" i="2" s="1"/>
  <c r="S5" i="2"/>
  <c r="U5" i="2" s="1"/>
  <c r="V5" i="2" s="1"/>
  <c r="S13" i="2"/>
  <c r="U13" i="2" s="1"/>
  <c r="V13" i="2" s="1"/>
  <c r="S23" i="2"/>
  <c r="U23" i="2" s="1"/>
  <c r="V23" i="2" s="1"/>
  <c r="S19" i="2"/>
  <c r="U19" i="2" s="1"/>
  <c r="U10" i="2"/>
  <c r="V10" i="2" s="1"/>
  <c r="R8" i="2"/>
  <c r="S8" i="2" s="1"/>
  <c r="S22" i="2"/>
  <c r="U22" i="2" s="1"/>
  <c r="V22" i="2" s="1"/>
  <c r="S29" i="2"/>
  <c r="U29" i="2" s="1"/>
  <c r="V29" i="2" s="1"/>
  <c r="S32" i="2"/>
  <c r="U32" i="2" s="1"/>
  <c r="S53" i="2"/>
  <c r="U53" i="2" s="1"/>
  <c r="V53" i="2" s="1"/>
  <c r="S60" i="2"/>
  <c r="U60" i="2" s="1"/>
  <c r="V60" i="2" s="1"/>
  <c r="S63" i="2"/>
  <c r="U63" i="2" s="1"/>
  <c r="V63" i="2" s="1"/>
  <c r="S66" i="2"/>
  <c r="U66" i="2" s="1"/>
  <c r="V66" i="2" s="1"/>
  <c r="S76" i="2"/>
  <c r="U76" i="2" s="1"/>
  <c r="V76" i="2" s="1"/>
  <c r="S79" i="2"/>
  <c r="U79" i="2" s="1"/>
  <c r="V79" i="2" s="1"/>
  <c r="S85" i="2"/>
  <c r="U85" i="2" s="1"/>
  <c r="V85" i="2" s="1"/>
  <c r="S89" i="2"/>
  <c r="U89" i="2" s="1"/>
  <c r="V89" i="2" s="1"/>
  <c r="S30" i="2"/>
  <c r="U30" i="2" s="1"/>
  <c r="V30" i="2" s="1"/>
  <c r="S33" i="2"/>
  <c r="U33" i="2" s="1"/>
  <c r="V33" i="2" s="1"/>
  <c r="S35" i="2"/>
  <c r="U35" i="2" s="1"/>
  <c r="V35" i="2" s="1"/>
  <c r="S38" i="2"/>
  <c r="U38" i="2" s="1"/>
  <c r="V38" i="2" s="1"/>
  <c r="S54" i="2"/>
  <c r="U54" i="2" s="1"/>
  <c r="V54" i="2" s="1"/>
  <c r="S57" i="2"/>
  <c r="U57" i="2" s="1"/>
  <c r="V57" i="2" s="1"/>
  <c r="S67" i="2"/>
  <c r="U67" i="2" s="1"/>
  <c r="V67" i="2" s="1"/>
  <c r="S82" i="2"/>
  <c r="U82" i="2" s="1"/>
  <c r="V82" i="2" s="1"/>
  <c r="S94" i="2"/>
  <c r="U94" i="2" s="1"/>
  <c r="V94" i="2" s="1"/>
  <c r="S98" i="2"/>
  <c r="U98" i="2" s="1"/>
  <c r="V98" i="2" s="1"/>
  <c r="S101" i="2"/>
  <c r="U101" i="2" s="1"/>
  <c r="V101" i="2" s="1"/>
  <c r="S104" i="2"/>
  <c r="U104" i="2" s="1"/>
  <c r="V104" i="2" s="1"/>
  <c r="S4" i="2"/>
  <c r="U4" i="2" s="1"/>
  <c r="V4" i="2" s="1"/>
  <c r="S20" i="2"/>
  <c r="U20" i="2" s="1"/>
  <c r="S36" i="2"/>
  <c r="U36" i="2" s="1"/>
  <c r="V36" i="2" s="1"/>
  <c r="S39" i="2"/>
  <c r="U39" i="2" s="1"/>
  <c r="V39" i="2" s="1"/>
  <c r="S42" i="2"/>
  <c r="U42" i="2" s="1"/>
  <c r="V42" i="2" s="1"/>
  <c r="S48" i="2"/>
  <c r="U48" i="2" s="1"/>
  <c r="V48" i="2" s="1"/>
  <c r="S51" i="2"/>
  <c r="U51" i="2" s="1"/>
  <c r="V51" i="2" s="1"/>
  <c r="S55" i="2"/>
  <c r="U55" i="2" s="1"/>
  <c r="V55" i="2" s="1"/>
  <c r="S58" i="2"/>
  <c r="U58" i="2" s="1"/>
  <c r="V58" i="2" s="1"/>
  <c r="U68" i="2"/>
  <c r="V68" i="2" s="1"/>
  <c r="S74" i="2"/>
  <c r="U74" i="2" s="1"/>
  <c r="V74" i="2" s="1"/>
  <c r="S83" i="2"/>
  <c r="U83" i="2" s="1"/>
  <c r="V83" i="2" s="1"/>
  <c r="S92" i="2"/>
  <c r="U92" i="2" s="1"/>
  <c r="V92" i="2" s="1"/>
  <c r="S102" i="2"/>
  <c r="U102" i="2" s="1"/>
  <c r="V102" i="2" s="1"/>
  <c r="S105" i="2"/>
  <c r="U105" i="2" s="1"/>
  <c r="V105" i="2" s="1"/>
  <c r="S26" i="2"/>
  <c r="U26" i="2" s="1"/>
  <c r="S37" i="2"/>
  <c r="U37" i="2" s="1"/>
  <c r="V37" i="2" s="1"/>
  <c r="S40" i="2"/>
  <c r="U40" i="2" s="1"/>
  <c r="V40" i="2" s="1"/>
  <c r="S43" i="2"/>
  <c r="U43" i="2" s="1"/>
  <c r="V43" i="2" s="1"/>
  <c r="S46" i="2"/>
  <c r="U46" i="2" s="1"/>
  <c r="V46" i="2" s="1"/>
  <c r="S49" i="2"/>
  <c r="U49" i="2" s="1"/>
  <c r="V49" i="2" s="1"/>
  <c r="S62" i="2"/>
  <c r="U62" i="2" s="1"/>
  <c r="V62" i="2" s="1"/>
  <c r="S72" i="2"/>
  <c r="U72" i="2" s="1"/>
  <c r="V72" i="2" s="1"/>
  <c r="S75" i="2"/>
  <c r="U75" i="2" s="1"/>
  <c r="V75" i="2" s="1"/>
  <c r="U78" i="2"/>
  <c r="V78" i="2" s="1"/>
  <c r="S81" i="2"/>
  <c r="U81" i="2" s="1"/>
  <c r="V81" i="2" s="1"/>
  <c r="S88" i="2"/>
  <c r="U88" i="2" s="1"/>
  <c r="V88" i="2" s="1"/>
  <c r="U34" i="2"/>
  <c r="V34" i="2" s="1"/>
  <c r="U41" i="2"/>
  <c r="V41" i="2" s="1"/>
  <c r="U56" i="2"/>
  <c r="V56" i="2" s="1"/>
  <c r="U61" i="2"/>
  <c r="V61" i="2" s="1"/>
  <c r="U65" i="2"/>
  <c r="V65" i="2" s="1"/>
  <c r="U69" i="2"/>
  <c r="V69" i="2" s="1"/>
  <c r="U73" i="2"/>
  <c r="V73" i="2" s="1"/>
  <c r="U77" i="2"/>
  <c r="V77" i="2" s="1"/>
  <c r="S91" i="2"/>
  <c r="U91" i="2" s="1"/>
  <c r="V91" i="2" s="1"/>
  <c r="S103" i="2"/>
  <c r="U103" i="2" s="1"/>
  <c r="V103" i="2" s="1"/>
  <c r="V32" i="2" l="1"/>
  <c r="E44" i="1"/>
  <c r="F44" i="1" s="1"/>
  <c r="V20" i="2"/>
  <c r="E32" i="1"/>
  <c r="F32" i="1" s="1"/>
  <c r="V19" i="2"/>
  <c r="E31" i="1"/>
  <c r="F31" i="1" s="1"/>
  <c r="V27" i="2"/>
  <c r="E39" i="1"/>
  <c r="F39" i="1" s="1"/>
  <c r="U8" i="2"/>
  <c r="V8" i="2" s="1"/>
  <c r="U90" i="2"/>
  <c r="V90" i="2" s="1"/>
  <c r="U31" i="2"/>
  <c r="S11" i="2"/>
  <c r="U11" i="2" s="1"/>
  <c r="V11" i="2" s="1"/>
  <c r="V31" i="2" l="1"/>
  <c r="E43" i="1"/>
  <c r="F43" i="1" s="1"/>
  <c r="F118" i="1"/>
  <c r="V106" i="2"/>
</calcChain>
</file>

<file path=xl/sharedStrings.xml><?xml version="1.0" encoding="utf-8"?>
<sst xmlns="http://schemas.openxmlformats.org/spreadsheetml/2006/main" count="526" uniqueCount="180">
  <si>
    <t>QUOTATION</t>
  </si>
  <si>
    <t xml:space="preserve">S.P. INDUSTRIES </t>
  </si>
  <si>
    <t>Plot No-97, Sector No - 7, PCNTDA, MIDC Bhosari, Pune - 411 026</t>
  </si>
  <si>
    <t>Mob no -09823714674</t>
  </si>
  <si>
    <t>SPECIAL PURPOSE MACHINES/FIXTURES DESIGN &amp; MANUFACTURING, REVERSE ENGINEERING, PRECISION ENGINEERING WORK, CAD SERVICES</t>
  </si>
  <si>
    <t>To,</t>
  </si>
  <si>
    <t>Your Inquiry No.</t>
  </si>
  <si>
    <t>Sidel India Pvt. Ltd.</t>
  </si>
  <si>
    <t>Quotation No. :- SP-04220</t>
  </si>
  <si>
    <t>Plot No. B-19, MIDC, Chakan Industrial Area</t>
  </si>
  <si>
    <t>Mahalunga Village, Taluka Khed, District Pune – 410501, Maharashtra, India</t>
  </si>
  <si>
    <t>Dear Sir,</t>
  </si>
  <si>
    <t xml:space="preserve">   We Thank you for your enquiry &amp; have pleasure in quotation below for your requirement.</t>
  </si>
  <si>
    <t>Sr No</t>
  </si>
  <si>
    <t>Drawing No.</t>
  </si>
  <si>
    <t>Description</t>
  </si>
  <si>
    <t>QTY</t>
  </si>
  <si>
    <t>Unit Rate</t>
  </si>
  <si>
    <t>Value</t>
  </si>
  <si>
    <t>Rs         Ps</t>
  </si>
  <si>
    <t>COOLING RAIL SUPPORT PLATE (</t>
  </si>
  <si>
    <t>SPACER FOR AIR COLLECTOR 40 RUBIN (0425@</t>
  </si>
  <si>
    <t>1/2N CLAMP UNIT PINION HOLDING BLOCK</t>
  </si>
  <si>
    <t>CENTER HEATER STAND COVER TOP SIDE</t>
  </si>
  <si>
    <t>SPRING FOR CLAMP UNIT FOR 1/4N</t>
  </si>
  <si>
    <t>CYLINDER EXTENSION FOR SLIDING PLATE</t>
  </si>
  <si>
    <t>TIE BAR LOCKING</t>
  </si>
  <si>
    <t>EJECTOR JAW HOLDING PLATE</t>
  </si>
  <si>
    <t>SPACER FOR NORGREN VALVE MTG.BRACKET</t>
  </si>
  <si>
    <t>BLOW PIN BUSH SR 1/2</t>
  </si>
  <si>
    <t>BOLT FOR LOADER TIE BAR</t>
  </si>
  <si>
    <t>LOADER GRIPPER HOLDING PLATE FOR 1-4GRE@</t>
  </si>
  <si>
    <t>BLOW PIN BUSH</t>
  </si>
  <si>
    <t>TIE-BAR LOCKING PLATE</t>
  </si>
  <si>
    <t>INDEX 1聽 SUPPORT PLATE</t>
  </si>
  <si>
    <t>PREFORM SCALE SUPPORT PLATE</t>
  </si>
  <si>
    <t>TENSIONER BEARING SHAFT FOR BOTTLE</t>
  </si>
  <si>
    <t>TENSIONER BEARING SHAFT - 75H</t>
  </si>
  <si>
    <t>BOTTLE EJECTOR CYLINDER MTG. PLATE</t>
  </si>
  <si>
    <t>SUPPORT BEARING MTG. PLATE</t>
  </si>
  <si>
    <t>CAM BASE PLATE MOUNTING BEAM</t>
  </si>
  <si>
    <t>BRACKET FOR PHOTOCELL &amp; REFLECTOR</t>
  </si>
  <si>
    <t>C CHANNEL 1</t>
  </si>
  <si>
    <t>U - BRACKET FOR SPINDLE GUIDE SYSTEM</t>
  </si>
  <si>
    <t>SPINDLE ROLLER GUIDE SUPPORT FOR IDLER @</t>
  </si>
  <si>
    <t>GUIDE ROD</t>
  </si>
  <si>
    <t>SENSOR BASE MOUTING PLATE</t>
  </si>
  <si>
    <t>BRACKET FOR SPINDLE GUIDE SYSTEM</t>
  </si>
  <si>
    <t>STUD FOR ADJUSTABLE TAKEOFF SUPPORT</t>
  </si>
  <si>
    <t>PLATE FOR VERTICAL 90MM PITCH</t>
  </si>
  <si>
    <t>STOPPER NYLONE FOR SHUTTLE</t>
  </si>
  <si>
    <t>MOUNTING LOWER PLATE FOR EXTRUSION MOUNT</t>
  </si>
  <si>
    <t>PLATE FOR WEDGE CLAMP</t>
  </si>
  <si>
    <t>BASE PLATE FOR LOADER</t>
  </si>
  <si>
    <t>BLOCK FOR SYF BEARING LOADER</t>
  </si>
  <si>
    <t>BLOCK FOR SYF BEARING GEAR SIDE</t>
  </si>
  <si>
    <t>PLATE FOR LOADER MTG.</t>
  </si>
  <si>
    <t>BOLT FOR STOPER LONG 140MM</t>
  </si>
  <si>
    <t>BLOCK FOR COUNTER WIEGHT LOADER</t>
  </si>
  <si>
    <t>SHIM FOR 1MM LOADER</t>
  </si>
  <si>
    <t>SUPPORT TWISTER SPINDLE ROLLER GUIDE</t>
  </si>
  <si>
    <t>BRACKET L FOR PREFORM PRESSING</t>
  </si>
  <si>
    <t>ASSEMBLY GATE UNIT MOUTING SUPPORT</t>
  </si>
  <si>
    <t>PITCH 180MM VERTICAL PLATE</t>
  </si>
  <si>
    <t>BLOCK FOR W MTG BKT 2</t>
  </si>
  <si>
    <t>BLOCK FOR W MTG BKT 1</t>
  </si>
  <si>
    <t>BLOW PIN 2</t>
  </si>
  <si>
    <t>PLATE MESH FOR FESTO VENTURI BOX</t>
  </si>
  <si>
    <t>SPACER FOR FESTO VENTURI BOX</t>
  </si>
  <si>
    <t>BOX CASING FOR FESTO VENTURI</t>
  </si>
  <si>
    <t>BOX CASING LID FOR FESTO VENTURI</t>
  </si>
  <si>
    <t>COOLING WATER LINE L BKT</t>
  </si>
  <si>
    <t>BRACKET LIMIT SWITCH</t>
  </si>
  <si>
    <t>SUPPORT NON OVEN SIDE</t>
  </si>
  <si>
    <t>VALVE MOUNTING PLATE MFH-1/4</t>
  </si>
  <si>
    <t>VALVE MOUNTING PLATE MFH-1/4 -2VALVE</t>
  </si>
  <si>
    <t>SHAFT PIN ENCODER</t>
  </si>
  <si>
    <t>COUPLING ENCODER PIN</t>
  </si>
  <si>
    <t>ENCODER SPACER ROD</t>
  </si>
  <si>
    <t>BRACKET FOR MOUNTING LR 1/4 D MINI</t>
  </si>
  <si>
    <t>WHISKER SWITCH MTG.PLATE FOR 1_4N INDEX.</t>
  </si>
  <si>
    <t>PLATE ON BOTTLE DETECT LIMIT SWITCH</t>
  </si>
  <si>
    <t>BRACKET FOR MTG FRL ON FRAME</t>
  </si>
  <si>
    <t>BRACKET FOR FRL MTG 2</t>
  </si>
  <si>
    <t>ADAPTER FOR SMC ZHV-10 VENTURI</t>
  </si>
  <si>
    <t>SHAFT ASSEMBLY FOR DRVS</t>
  </si>
  <si>
    <t>BLOCK HEATER MTG. BOTTOM</t>
  </si>
  <si>
    <t>BLOCK HEATER MTG. BOTTOM CENTER</t>
  </si>
  <si>
    <t>BRACKET</t>
  </si>
  <si>
    <t>BLOCK HEATER MTG. BOTTOM LEFT</t>
  </si>
  <si>
    <t>CLAMPING BKT FOR SICA CABLE TRAY</t>
  </si>
  <si>
    <t>QUARTZ BAR MOUNTING CLAMP</t>
  </si>
  <si>
    <t>SHIM FOR STOPPER BLOCK 0.4 MM</t>
  </si>
  <si>
    <t>SHIM FOR STOPPER BLOCK 0.2 MM</t>
  </si>
  <si>
    <t>HOT NECK COLLER GUIDE</t>
  </si>
  <si>
    <t>BOTTLE OUTFEED NECK GUIDE PLATE_V25</t>
  </si>
  <si>
    <t>PLATE FRONT COVER CENTRE FOR PILLAR</t>
  </si>
  <si>
    <t>CLAMP FOR 6MM PIPE</t>
  </si>
  <si>
    <t>HOPPER CAP COLLECTING</t>
  </si>
  <si>
    <t>TUBE OD 6MM, LG 5M</t>
  </si>
  <si>
    <t>NECK GUIDE COLLAR SUPPORT</t>
  </si>
  <si>
    <t>NECK GUIDE COLLAR SUPPORT-S.S</t>
  </si>
  <si>
    <t>RING FOR HOT PREFORM TOP HOLDING-S.S</t>
  </si>
  <si>
    <t>RESTING PAD FOR FLAT BOTTLES-SR 5/2N</t>
  </si>
  <si>
    <t>ROD</t>
  </si>
  <si>
    <t>PLATE FOR CYLINDER MTG SHUTTLE</t>
  </si>
  <si>
    <t>STOPPER NYLON SHUTTLE 27.5MM</t>
  </si>
  <si>
    <t>STOPPER SHUTTLE 19MM</t>
  </si>
  <si>
    <t>MOUNTING PLATE FOR W BRACKET GATE 1</t>
  </si>
  <si>
    <t>MOUNTING PLATE FOR AUTO LUBRICATION</t>
  </si>
  <si>
    <t>BASE PLATE FOR ELECTRICAL INDEXING</t>
  </si>
  <si>
    <t>INDEX 1 UNIT MTG. SIDE PLATE</t>
  </si>
  <si>
    <t>TIE-BAR HOLDING BLOCK</t>
  </si>
  <si>
    <t>PUSHER CLAPPER INDEX 1</t>
  </si>
  <si>
    <t>PUSHER NYLON HOLDER</t>
  </si>
  <si>
    <t>PIPE T JOIN FOR HYDRA</t>
  </si>
  <si>
    <t>STRETCHING ROD GUIDE BUDH-SR_5/2</t>
  </si>
  <si>
    <t>SEAL UNIT-3(12.7 STRETCH ROD)-5/2</t>
  </si>
  <si>
    <t>SEAL UNIT-2(12.7 STRETCH ROD)-5/2</t>
  </si>
  <si>
    <t>CYLINDRICAL BUSH (20X25)-SR 5/2</t>
  </si>
  <si>
    <t>BUSH (SPIDER)_12.7_SR 5/2</t>
  </si>
  <si>
    <t>Total</t>
  </si>
  <si>
    <t>Terms &amp; Conditions</t>
  </si>
  <si>
    <t>Prices quoted are for Ex-Works</t>
  </si>
  <si>
    <t>Packing &amp; Forwarding Charges Will be extra</t>
  </si>
  <si>
    <t>GST : 18 %  extra</t>
  </si>
  <si>
    <t>Delivery :4 to 6 weeks from the date of receipt of your technically &amp; commercially confirmed clear purchase order.</t>
  </si>
  <si>
    <t>Payment Terms : Against Delivery</t>
  </si>
  <si>
    <t>Validity  :This quotation hold good for acceptance for 30days after which it is subject to our confirmation.</t>
  </si>
  <si>
    <t>We hope that the above is clear &amp; look forward to the pleasure of receiving your valuable order at the earliest.</t>
  </si>
  <si>
    <t xml:space="preserve">                                                                               For S.P.INDUSTRIES               </t>
  </si>
  <si>
    <t>Material</t>
  </si>
  <si>
    <t>Material Size</t>
  </si>
  <si>
    <t>Wight</t>
  </si>
  <si>
    <t>Material Cost</t>
  </si>
  <si>
    <t>CNC / Turning</t>
  </si>
  <si>
    <t>Milling/Cutting</t>
  </si>
  <si>
    <t>VMC</t>
  </si>
  <si>
    <t>Drilling</t>
  </si>
  <si>
    <t>Taping</t>
  </si>
  <si>
    <t>Grinding</t>
  </si>
  <si>
    <t>Laser Cutting &amp; Bending</t>
  </si>
  <si>
    <t>Finish</t>
  </si>
  <si>
    <t>Profit &amp;over heads</t>
  </si>
  <si>
    <t>Qty</t>
  </si>
  <si>
    <t>Unit price</t>
  </si>
  <si>
    <t>Total Price</t>
  </si>
  <si>
    <t>Alu 6060</t>
  </si>
  <si>
    <t>SS316L</t>
  </si>
  <si>
    <t>MS</t>
  </si>
  <si>
    <t>ss</t>
  </si>
  <si>
    <t>Short Text</t>
  </si>
  <si>
    <t>ALU</t>
  </si>
  <si>
    <t>STD</t>
  </si>
  <si>
    <t>UB</t>
  </si>
  <si>
    <t>UB MATERIAL NOT CLEAR</t>
  </si>
  <si>
    <t>EN8</t>
  </si>
  <si>
    <t>PET</t>
  </si>
  <si>
    <t>OLD RATE</t>
  </si>
  <si>
    <t>C45</t>
  </si>
  <si>
    <t>Sparking/HRC/WELD</t>
  </si>
  <si>
    <t>EN24</t>
  </si>
  <si>
    <t>SS304</t>
  </si>
  <si>
    <t xml:space="preserve">POLYAMIDE </t>
  </si>
  <si>
    <t>DRAWING REQUIRED</t>
  </si>
  <si>
    <t>100CR6</t>
  </si>
  <si>
    <t>ALU 7075</t>
  </si>
  <si>
    <t>ASSY DRAWING</t>
  </si>
  <si>
    <t>ALU 6082</t>
  </si>
  <si>
    <t>REGRATE</t>
  </si>
  <si>
    <t>ALU 6060</t>
  </si>
  <si>
    <t>PNEUMATIC TUBE</t>
  </si>
  <si>
    <t>POLYETHYLENE</t>
  </si>
  <si>
    <t>NYLON06</t>
  </si>
  <si>
    <t>PTFE</t>
  </si>
  <si>
    <t>BRASS</t>
  </si>
  <si>
    <t>REMARK</t>
  </si>
  <si>
    <t>Remark</t>
  </si>
  <si>
    <t>Date :- 27/11/2025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</si>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</sst>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>
    <font>
      <sz val="11"/>
      <color theme="1"/>
      <name val="Aptos Narrow"/>
      <scheme val="minor"/>
    </font>
    <font>
      <b/>
      <sz val="12"/>
      <color theme="1"/>
      <name val="Times New Roman"/>
      <family val="1"/>
    </font>
    <font>
      <sz val="11"/>
      <name val="Aptos Narrow"/>
    </font>
    <font>
      <sz val="11"/>
      <color theme="1"/>
      <name val="Aptos Narrow"/>
    </font>
    <font>
      <sz val="18"/>
      <color rgb="FFFF6600"/>
      <name val="Arial Black"/>
      <family val="2"/>
    </font>
    <font>
      <sz val="9"/>
      <color theme="1"/>
      <name val="Arial Black"/>
      <family val="2"/>
    </font>
    <font>
      <sz val="10"/>
      <color theme="1"/>
      <name val="Aptos Narrow"/>
    </font>
    <font>
      <b/>
      <sz val="10"/>
      <color theme="1"/>
      <name val="Times New Roman"/>
      <family val="1"/>
    </font>
    <font>
      <b/>
      <sz val="8"/>
      <color theme="1"/>
      <name val="Swis721 Blk BT"/>
    </font>
    <font>
      <sz val="8"/>
      <color theme="1"/>
      <name val="Arial"/>
      <family val="2"/>
    </font>
    <font>
      <b/>
      <sz val="11"/>
      <color theme="1"/>
      <name val="Times New Roman"/>
      <family val="1"/>
    </font>
    <font>
      <b/>
      <sz val="11"/>
      <color rgb="FF000000"/>
      <name val="Aptos Narrow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ptos Narrow"/>
    </font>
    <font>
      <b/>
      <sz val="11"/>
      <color theme="1"/>
      <name val="Kai"/>
    </font>
    <font>
      <b/>
      <sz val="11"/>
      <color theme="1"/>
      <name val="Aptos Narrow"/>
    </font>
    <font>
      <b/>
      <sz val="10"/>
      <color theme="1"/>
      <name val="Kai"/>
    </font>
    <font>
      <b/>
      <sz val="10"/>
      <color theme="1"/>
      <name val="Play"/>
    </font>
    <font>
      <b/>
      <sz val="10"/>
      <color rgb="FF00000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Play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Play"/>
    </font>
    <font>
      <sz val="11"/>
      <color rgb="FF000000"/>
      <name val="Aptos Narrow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76A5AF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rgb="FF4C1130"/>
      </patternFill>
    </fill>
    <fill>
      <patternFill patternType="solid">
        <fgColor theme="0"/>
        <bgColor rgb="FF3D85C6"/>
      </patternFill>
    </fill>
    <fill>
      <patternFill patternType="solid">
        <fgColor theme="0"/>
        <bgColor rgb="FF6FA8DC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660000"/>
      </patternFill>
    </fill>
    <fill>
      <patternFill patternType="solid">
        <fgColor theme="0"/>
        <bgColor rgb="FFDD7E6B"/>
      </patternFill>
    </fill>
    <fill>
      <patternFill patternType="solid">
        <fgColor rgb="FFFFFF00"/>
        <bgColor rgb="FF93C47D"/>
      </patternFill>
    </fill>
    <fill>
      <patternFill patternType="solid">
        <fgColor theme="5" tint="0.59999389629810485"/>
        <bgColor rgb="FF93C47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6D9EEB"/>
      </patternFill>
    </fill>
    <fill>
      <patternFill patternType="solid">
        <fgColor theme="5" tint="0.59999389629810485"/>
        <bgColor rgb="FF3D85C6"/>
      </patternFill>
    </fill>
    <fill>
      <patternFill patternType="solid">
        <fgColor theme="5" tint="0.59999389629810485"/>
        <bgColor rgb="FF6FA8DC"/>
      </patternFill>
    </fill>
    <fill>
      <patternFill patternType="solid">
        <fgColor theme="5" tint="0.59999389629810485"/>
        <bgColor rgb="FF3C78D8"/>
      </patternFill>
    </fill>
    <fill>
      <patternFill patternType="solid">
        <fgColor theme="5" tint="0.59999389629810485"/>
        <bgColor rgb="FFB6D7A8"/>
      </patternFill>
    </fill>
    <fill>
      <patternFill patternType="solid">
        <fgColor theme="5" tint="0.59999389629810485"/>
        <bgColor rgb="FF76A5AF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5" tint="0.59999389629810485"/>
        <bgColor rgb="FF4A86E8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00"/>
        <bgColor rgb="FFDD7E6B"/>
      </patternFill>
    </fill>
    <fill>
      <patternFill patternType="solid">
        <fgColor rgb="FFFFFF00"/>
        <bgColor rgb="FFEA9999"/>
      </patternFill>
    </fill>
    <fill>
      <patternFill patternType="solid">
        <fgColor rgb="FFFFFF00"/>
        <bgColor rgb="FFB6D7A8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1">
    <xf numFmtId="0" fontId="0" fillId="0" borderId="0" xfId="0" applyFont="1" applyAlignment="1"/>
    <xf numFmtId="0" fontId="3" fillId="2" borderId="4" xfId="0" applyFont="1" applyFill="1" applyBorder="1"/>
    <xf numFmtId="0" fontId="6" fillId="2" borderId="4" xfId="0" applyFont="1" applyFill="1" applyBorder="1"/>
    <xf numFmtId="0" fontId="9" fillId="2" borderId="4" xfId="0" applyFont="1" applyFill="1" applyBorder="1"/>
    <xf numFmtId="0" fontId="10" fillId="2" borderId="20" xfId="0" applyFont="1" applyFill="1" applyBorder="1" applyAlignment="1">
      <alignment horizontal="center" vertical="top"/>
    </xf>
    <xf numFmtId="0" fontId="10" fillId="2" borderId="20" xfId="0" applyFont="1" applyFill="1" applyBorder="1" applyAlignment="1">
      <alignment vertical="top" wrapText="1"/>
    </xf>
    <xf numFmtId="0" fontId="14" fillId="2" borderId="20" xfId="0" applyFont="1" applyFill="1" applyBorder="1" applyAlignment="1">
      <alignment horizontal="center" vertical="center"/>
    </xf>
    <xf numFmtId="1" fontId="16" fillId="2" borderId="25" xfId="0" applyNumberFormat="1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3" fillId="2" borderId="27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19" fillId="2" borderId="4" xfId="0" applyFont="1" applyFill="1" applyBorder="1"/>
    <xf numFmtId="0" fontId="19" fillId="2" borderId="4" xfId="0" applyFont="1" applyFill="1" applyBorder="1" applyAlignment="1">
      <alignment horizontal="center" vertical="center"/>
    </xf>
    <xf numFmtId="0" fontId="3" fillId="2" borderId="28" xfId="0" applyFont="1" applyFill="1" applyBorder="1"/>
    <xf numFmtId="0" fontId="20" fillId="2" borderId="2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1" fontId="14" fillId="2" borderId="32" xfId="0" applyNumberFormat="1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/>
    </xf>
    <xf numFmtId="0" fontId="13" fillId="3" borderId="33" xfId="0" applyFont="1" applyFill="1" applyBorder="1" applyAlignment="1">
      <alignment vertical="top"/>
    </xf>
    <xf numFmtId="0" fontId="1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164" fontId="24" fillId="3" borderId="25" xfId="0" applyNumberFormat="1" applyFont="1" applyFill="1" applyBorder="1" applyAlignment="1">
      <alignment horizontal="center" vertical="center"/>
    </xf>
    <xf numFmtId="1" fontId="23" fillId="2" borderId="20" xfId="0" applyNumberFormat="1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/>
    </xf>
    <xf numFmtId="0" fontId="13" fillId="4" borderId="33" xfId="0" applyFont="1" applyFill="1" applyBorder="1" applyAlignment="1">
      <alignment vertical="top"/>
    </xf>
    <xf numFmtId="0" fontId="23" fillId="4" borderId="25" xfId="0" applyFont="1" applyFill="1" applyBorder="1" applyAlignment="1">
      <alignment horizontal="center" vertical="center"/>
    </xf>
    <xf numFmtId="164" fontId="24" fillId="4" borderId="25" xfId="0" applyNumberFormat="1" applyFont="1" applyFill="1" applyBorder="1" applyAlignment="1">
      <alignment horizontal="center" vertical="center"/>
    </xf>
    <xf numFmtId="0" fontId="23" fillId="4" borderId="37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164" fontId="24" fillId="4" borderId="20" xfId="0" applyNumberFormat="1" applyFont="1" applyFill="1" applyBorder="1" applyAlignment="1">
      <alignment horizontal="center" vertical="center"/>
    </xf>
    <xf numFmtId="0" fontId="12" fillId="5" borderId="20" xfId="0" applyFont="1" applyFill="1" applyBorder="1" applyAlignment="1">
      <alignment vertical="top"/>
    </xf>
    <xf numFmtId="0" fontId="23" fillId="4" borderId="4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41" xfId="0" applyFont="1" applyBorder="1" applyAlignment="1">
      <alignment vertical="top"/>
    </xf>
    <xf numFmtId="0" fontId="14" fillId="0" borderId="42" xfId="0" applyFont="1" applyBorder="1" applyAlignment="1">
      <alignment vertical="top"/>
    </xf>
    <xf numFmtId="0" fontId="14" fillId="0" borderId="42" xfId="0" applyFont="1" applyBorder="1" applyAlignment="1">
      <alignment horizontal="center" vertical="center"/>
    </xf>
    <xf numFmtId="0" fontId="12" fillId="5" borderId="22" xfId="0" applyFont="1" applyFill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8" borderId="0" xfId="0" applyFont="1" applyFill="1" applyAlignment="1"/>
    <xf numFmtId="0" fontId="3" fillId="7" borderId="28" xfId="0" applyFont="1" applyFill="1" applyBorder="1" applyAlignment="1">
      <alignment vertical="center"/>
    </xf>
    <xf numFmtId="0" fontId="3" fillId="9" borderId="28" xfId="0" applyFont="1" applyFill="1" applyBorder="1"/>
    <xf numFmtId="0" fontId="3" fillId="22" borderId="28" xfId="0" applyFont="1" applyFill="1" applyBorder="1"/>
    <xf numFmtId="0" fontId="3" fillId="7" borderId="28" xfId="0" applyFont="1" applyFill="1" applyBorder="1"/>
    <xf numFmtId="0" fontId="3" fillId="10" borderId="28" xfId="0" applyFont="1" applyFill="1" applyBorder="1"/>
    <xf numFmtId="0" fontId="29" fillId="7" borderId="28" xfId="0" applyFont="1" applyFill="1" applyBorder="1"/>
    <xf numFmtId="0" fontId="29" fillId="9" borderId="28" xfId="0" applyFont="1" applyFill="1" applyBorder="1"/>
    <xf numFmtId="0" fontId="3" fillId="13" borderId="28" xfId="0" applyFont="1" applyFill="1" applyBorder="1"/>
    <xf numFmtId="0" fontId="0" fillId="8" borderId="28" xfId="0" applyFont="1" applyFill="1" applyBorder="1" applyAlignment="1"/>
    <xf numFmtId="0" fontId="3" fillId="2" borderId="28" xfId="0" applyFont="1" applyFill="1" applyBorder="1" applyAlignment="1">
      <alignment vertical="center"/>
    </xf>
    <xf numFmtId="0" fontId="24" fillId="9" borderId="28" xfId="0" applyFont="1" applyFill="1" applyBorder="1" applyAlignment="1"/>
    <xf numFmtId="0" fontId="27" fillId="7" borderId="28" xfId="0" applyFont="1" applyFill="1" applyBorder="1" applyAlignment="1"/>
    <xf numFmtId="0" fontId="27" fillId="9" borderId="28" xfId="0" applyFont="1" applyFill="1" applyBorder="1" applyAlignment="1"/>
    <xf numFmtId="0" fontId="30" fillId="13" borderId="28" xfId="0" applyFont="1" applyFill="1" applyBorder="1" applyAlignment="1"/>
    <xf numFmtId="0" fontId="3" fillId="14" borderId="28" xfId="0" applyFont="1" applyFill="1" applyBorder="1"/>
    <xf numFmtId="0" fontId="3" fillId="21" borderId="28" xfId="0" applyFont="1" applyFill="1" applyBorder="1"/>
    <xf numFmtId="0" fontId="3" fillId="23" borderId="28" xfId="0" applyFont="1" applyFill="1" applyBorder="1"/>
    <xf numFmtId="0" fontId="3" fillId="16" borderId="28" xfId="0" applyFont="1" applyFill="1" applyBorder="1"/>
    <xf numFmtId="0" fontId="3" fillId="24" borderId="28" xfId="0" applyFont="1" applyFill="1" applyBorder="1" applyAlignment="1">
      <alignment vertical="center"/>
    </xf>
    <xf numFmtId="0" fontId="3" fillId="11" borderId="28" xfId="0" applyFont="1" applyFill="1" applyBorder="1"/>
    <xf numFmtId="0" fontId="3" fillId="12" borderId="28" xfId="0" applyFont="1" applyFill="1" applyBorder="1"/>
    <xf numFmtId="0" fontId="3" fillId="15" borderId="28" xfId="0" applyFont="1" applyFill="1" applyBorder="1"/>
    <xf numFmtId="0" fontId="3" fillId="17" borderId="28" xfId="0" applyFont="1" applyFill="1" applyBorder="1"/>
    <xf numFmtId="0" fontId="3" fillId="18" borderId="28" xfId="0" applyFont="1" applyFill="1" applyBorder="1"/>
    <xf numFmtId="0" fontId="31" fillId="19" borderId="28" xfId="0" applyFont="1" applyFill="1" applyBorder="1" applyAlignment="1"/>
    <xf numFmtId="0" fontId="3" fillId="19" borderId="28" xfId="0" applyFont="1" applyFill="1" applyBorder="1"/>
    <xf numFmtId="0" fontId="3" fillId="20" borderId="28" xfId="0" applyFont="1" applyFill="1" applyBorder="1"/>
    <xf numFmtId="0" fontId="2" fillId="8" borderId="39" xfId="0" applyFont="1" applyFill="1" applyBorder="1" applyAlignment="1"/>
    <xf numFmtId="0" fontId="2" fillId="8" borderId="37" xfId="0" applyFont="1" applyFill="1" applyBorder="1" applyAlignment="1"/>
    <xf numFmtId="0" fontId="13" fillId="7" borderId="43" xfId="0" applyFont="1" applyFill="1" applyBorder="1" applyAlignment="1">
      <alignment horizontal="center" vertical="center"/>
    </xf>
    <xf numFmtId="0" fontId="23" fillId="7" borderId="43" xfId="0" applyFont="1" applyFill="1" applyBorder="1" applyAlignment="1">
      <alignment horizontal="center" vertical="center"/>
    </xf>
    <xf numFmtId="164" fontId="24" fillId="7" borderId="43" xfId="0" applyNumberFormat="1" applyFont="1" applyFill="1" applyBorder="1" applyAlignment="1">
      <alignment horizontal="center" vertical="center"/>
    </xf>
    <xf numFmtId="1" fontId="23" fillId="7" borderId="43" xfId="0" applyNumberFormat="1" applyFont="1" applyFill="1" applyBorder="1" applyAlignment="1">
      <alignment horizontal="center" vertical="center"/>
    </xf>
    <xf numFmtId="1" fontId="24" fillId="7" borderId="43" xfId="0" applyNumberFormat="1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horizontal="center" vertical="center"/>
    </xf>
    <xf numFmtId="1" fontId="25" fillId="7" borderId="43" xfId="0" applyNumberFormat="1" applyFont="1" applyFill="1" applyBorder="1" applyAlignment="1">
      <alignment horizontal="center" vertical="center"/>
    </xf>
    <xf numFmtId="0" fontId="13" fillId="9" borderId="43" xfId="0" applyFont="1" applyFill="1" applyBorder="1" applyAlignment="1">
      <alignment horizontal="center" vertical="center"/>
    </xf>
    <xf numFmtId="0" fontId="23" fillId="9" borderId="43" xfId="0" applyFont="1" applyFill="1" applyBorder="1" applyAlignment="1">
      <alignment horizontal="center" vertical="center"/>
    </xf>
    <xf numFmtId="164" fontId="24" fillId="9" borderId="43" xfId="0" applyNumberFormat="1" applyFont="1" applyFill="1" applyBorder="1" applyAlignment="1">
      <alignment horizontal="center" vertical="center"/>
    </xf>
    <xf numFmtId="1" fontId="23" fillId="9" borderId="43" xfId="0" applyNumberFormat="1" applyFont="1" applyFill="1" applyBorder="1" applyAlignment="1">
      <alignment horizontal="center" vertical="center"/>
    </xf>
    <xf numFmtId="1" fontId="24" fillId="9" borderId="43" xfId="0" applyNumberFormat="1" applyFont="1" applyFill="1" applyBorder="1" applyAlignment="1">
      <alignment horizontal="center" vertical="center"/>
    </xf>
    <xf numFmtId="1" fontId="25" fillId="9" borderId="43" xfId="0" applyNumberFormat="1" applyFont="1" applyFill="1" applyBorder="1" applyAlignment="1">
      <alignment horizontal="center" vertical="center"/>
    </xf>
    <xf numFmtId="0" fontId="13" fillId="22" borderId="43" xfId="0" applyFont="1" applyFill="1" applyBorder="1" applyAlignment="1">
      <alignment horizontal="center" vertical="center"/>
    </xf>
    <xf numFmtId="0" fontId="23" fillId="22" borderId="43" xfId="0" applyFont="1" applyFill="1" applyBorder="1" applyAlignment="1">
      <alignment horizontal="center" vertical="center"/>
    </xf>
    <xf numFmtId="164" fontId="24" fillId="22" borderId="43" xfId="0" applyNumberFormat="1" applyFont="1" applyFill="1" applyBorder="1" applyAlignment="1">
      <alignment horizontal="center" vertical="center"/>
    </xf>
    <xf numFmtId="1" fontId="23" fillId="22" borderId="43" xfId="0" applyNumberFormat="1" applyFont="1" applyFill="1" applyBorder="1" applyAlignment="1">
      <alignment horizontal="center" vertical="center"/>
    </xf>
    <xf numFmtId="1" fontId="24" fillId="22" borderId="43" xfId="0" applyNumberFormat="1" applyFont="1" applyFill="1" applyBorder="1" applyAlignment="1">
      <alignment horizontal="center" vertical="center"/>
    </xf>
    <xf numFmtId="1" fontId="25" fillId="22" borderId="43" xfId="0" applyNumberFormat="1" applyFont="1" applyFill="1" applyBorder="1" applyAlignment="1">
      <alignment horizontal="center" vertical="center"/>
    </xf>
    <xf numFmtId="0" fontId="13" fillId="10" borderId="43" xfId="0" applyFont="1" applyFill="1" applyBorder="1" applyAlignment="1">
      <alignment horizontal="center" vertical="center"/>
    </xf>
    <xf numFmtId="0" fontId="23" fillId="10" borderId="43" xfId="0" applyFont="1" applyFill="1" applyBorder="1" applyAlignment="1">
      <alignment horizontal="center" vertical="center"/>
    </xf>
    <xf numFmtId="164" fontId="24" fillId="10" borderId="43" xfId="0" applyNumberFormat="1" applyFont="1" applyFill="1" applyBorder="1" applyAlignment="1">
      <alignment horizontal="center" vertical="center"/>
    </xf>
    <xf numFmtId="1" fontId="25" fillId="10" borderId="43" xfId="0" applyNumberFormat="1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26" fillId="7" borderId="43" xfId="0" applyFont="1" applyFill="1" applyBorder="1" applyAlignment="1">
      <alignment horizontal="center" vertical="center"/>
    </xf>
    <xf numFmtId="164" fontId="27" fillId="7" borderId="43" xfId="0" applyNumberFormat="1" applyFont="1" applyFill="1" applyBorder="1" applyAlignment="1">
      <alignment horizontal="center" vertical="center"/>
    </xf>
    <xf numFmtId="1" fontId="26" fillId="7" borderId="43" xfId="0" applyNumberFormat="1" applyFont="1" applyFill="1" applyBorder="1" applyAlignment="1">
      <alignment horizontal="center" vertical="center"/>
    </xf>
    <xf numFmtId="1" fontId="27" fillId="7" borderId="43" xfId="0" applyNumberFormat="1" applyFont="1" applyFill="1" applyBorder="1" applyAlignment="1">
      <alignment horizontal="center" vertical="center"/>
    </xf>
    <xf numFmtId="1" fontId="28" fillId="7" borderId="43" xfId="0" applyNumberFormat="1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164" fontId="27" fillId="9" borderId="43" xfId="0" applyNumberFormat="1" applyFont="1" applyFill="1" applyBorder="1" applyAlignment="1">
      <alignment horizontal="center" vertical="center"/>
    </xf>
    <xf numFmtId="1" fontId="26" fillId="9" borderId="43" xfId="0" applyNumberFormat="1" applyFont="1" applyFill="1" applyBorder="1" applyAlignment="1">
      <alignment horizontal="center" vertical="center"/>
    </xf>
    <xf numFmtId="0" fontId="13" fillId="13" borderId="43" xfId="0" applyFont="1" applyFill="1" applyBorder="1" applyAlignment="1">
      <alignment horizontal="center" vertical="center"/>
    </xf>
    <xf numFmtId="0" fontId="23" fillId="13" borderId="43" xfId="0" applyFont="1" applyFill="1" applyBorder="1" applyAlignment="1">
      <alignment horizontal="center" vertical="center"/>
    </xf>
    <xf numFmtId="164" fontId="24" fillId="13" borderId="43" xfId="0" applyNumberFormat="1" applyFont="1" applyFill="1" applyBorder="1" applyAlignment="1">
      <alignment horizontal="center" vertical="center"/>
    </xf>
    <xf numFmtId="1" fontId="23" fillId="13" borderId="43" xfId="0" applyNumberFormat="1" applyFont="1" applyFill="1" applyBorder="1" applyAlignment="1">
      <alignment horizontal="center" vertical="center"/>
    </xf>
    <xf numFmtId="1" fontId="27" fillId="9" borderId="43" xfId="0" applyNumberFormat="1" applyFont="1" applyFill="1" applyBorder="1" applyAlignment="1">
      <alignment horizontal="center" vertical="center"/>
    </xf>
    <xf numFmtId="1" fontId="28" fillId="9" borderId="43" xfId="0" applyNumberFormat="1" applyFont="1" applyFill="1" applyBorder="1" applyAlignment="1">
      <alignment horizontal="center" vertical="center"/>
    </xf>
    <xf numFmtId="0" fontId="13" fillId="14" borderId="43" xfId="0" applyFont="1" applyFill="1" applyBorder="1" applyAlignment="1">
      <alignment horizontal="center" vertical="center"/>
    </xf>
    <xf numFmtId="0" fontId="26" fillId="14" borderId="43" xfId="0" applyFont="1" applyFill="1" applyBorder="1" applyAlignment="1">
      <alignment horizontal="center" vertical="center"/>
    </xf>
    <xf numFmtId="164" fontId="27" fillId="14" borderId="43" xfId="0" applyNumberFormat="1" applyFont="1" applyFill="1" applyBorder="1" applyAlignment="1">
      <alignment horizontal="center" vertical="center"/>
    </xf>
    <xf numFmtId="1" fontId="26" fillId="14" borderId="43" xfId="0" applyNumberFormat="1" applyFont="1" applyFill="1" applyBorder="1" applyAlignment="1">
      <alignment horizontal="center" vertical="center"/>
    </xf>
    <xf numFmtId="1" fontId="27" fillId="14" borderId="43" xfId="0" applyNumberFormat="1" applyFont="1" applyFill="1" applyBorder="1" applyAlignment="1">
      <alignment horizontal="center" vertical="center"/>
    </xf>
    <xf numFmtId="1" fontId="28" fillId="14" borderId="43" xfId="0" applyNumberFormat="1" applyFont="1" applyFill="1" applyBorder="1" applyAlignment="1">
      <alignment horizontal="center" vertical="center"/>
    </xf>
    <xf numFmtId="0" fontId="13" fillId="21" borderId="43" xfId="0" applyFont="1" applyFill="1" applyBorder="1" applyAlignment="1">
      <alignment horizontal="center" vertical="center"/>
    </xf>
    <xf numFmtId="0" fontId="26" fillId="21" borderId="43" xfId="0" applyFont="1" applyFill="1" applyBorder="1" applyAlignment="1">
      <alignment horizontal="center" vertical="center"/>
    </xf>
    <xf numFmtId="164" fontId="27" fillId="21" borderId="43" xfId="0" applyNumberFormat="1" applyFont="1" applyFill="1" applyBorder="1" applyAlignment="1">
      <alignment horizontal="center" vertical="center"/>
    </xf>
    <xf numFmtId="1" fontId="26" fillId="21" borderId="43" xfId="0" applyNumberFormat="1" applyFont="1" applyFill="1" applyBorder="1" applyAlignment="1">
      <alignment horizontal="center" vertical="center"/>
    </xf>
    <xf numFmtId="1" fontId="27" fillId="21" borderId="43" xfId="0" applyNumberFormat="1" applyFont="1" applyFill="1" applyBorder="1" applyAlignment="1">
      <alignment horizontal="center" vertical="center"/>
    </xf>
    <xf numFmtId="1" fontId="28" fillId="21" borderId="43" xfId="0" applyNumberFormat="1" applyFont="1" applyFill="1" applyBorder="1" applyAlignment="1">
      <alignment horizontal="center" vertical="center"/>
    </xf>
    <xf numFmtId="0" fontId="13" fillId="23" borderId="43" xfId="0" applyFont="1" applyFill="1" applyBorder="1" applyAlignment="1">
      <alignment horizontal="center" vertical="center"/>
    </xf>
    <xf numFmtId="0" fontId="26" fillId="23" borderId="43" xfId="0" applyFont="1" applyFill="1" applyBorder="1" applyAlignment="1">
      <alignment horizontal="center" vertical="center"/>
    </xf>
    <xf numFmtId="164" fontId="27" fillId="23" borderId="43" xfId="0" applyNumberFormat="1" applyFont="1" applyFill="1" applyBorder="1" applyAlignment="1">
      <alignment horizontal="center" vertical="center"/>
    </xf>
    <xf numFmtId="1" fontId="26" fillId="23" borderId="43" xfId="0" applyNumberFormat="1" applyFont="1" applyFill="1" applyBorder="1" applyAlignment="1">
      <alignment horizontal="center" vertical="center"/>
    </xf>
    <xf numFmtId="1" fontId="27" fillId="23" borderId="43" xfId="0" applyNumberFormat="1" applyFont="1" applyFill="1" applyBorder="1" applyAlignment="1">
      <alignment horizontal="center" vertical="center"/>
    </xf>
    <xf numFmtId="1" fontId="28" fillId="23" borderId="43" xfId="0" applyNumberFormat="1" applyFont="1" applyFill="1" applyBorder="1" applyAlignment="1">
      <alignment horizontal="center" vertical="center"/>
    </xf>
    <xf numFmtId="0" fontId="13" fillId="16" borderId="43" xfId="0" applyFont="1" applyFill="1" applyBorder="1" applyAlignment="1">
      <alignment horizontal="center" vertical="center"/>
    </xf>
    <xf numFmtId="0" fontId="26" fillId="16" borderId="43" xfId="0" applyFont="1" applyFill="1" applyBorder="1" applyAlignment="1">
      <alignment horizontal="center" vertical="center"/>
    </xf>
    <xf numFmtId="1" fontId="26" fillId="16" borderId="43" xfId="0" applyNumberFormat="1" applyFont="1" applyFill="1" applyBorder="1" applyAlignment="1">
      <alignment horizontal="center" vertical="center"/>
    </xf>
    <xf numFmtId="1" fontId="27" fillId="16" borderId="43" xfId="0" applyNumberFormat="1" applyFont="1" applyFill="1" applyBorder="1" applyAlignment="1">
      <alignment horizontal="center" vertical="center"/>
    </xf>
    <xf numFmtId="1" fontId="28" fillId="16" borderId="43" xfId="0" applyNumberFormat="1" applyFont="1" applyFill="1" applyBorder="1" applyAlignment="1">
      <alignment horizontal="center" vertical="center"/>
    </xf>
    <xf numFmtId="1" fontId="26" fillId="10" borderId="43" xfId="0" applyNumberFormat="1" applyFont="1" applyFill="1" applyBorder="1" applyAlignment="1">
      <alignment horizontal="center" vertical="center"/>
    </xf>
    <xf numFmtId="1" fontId="27" fillId="10" borderId="43" xfId="0" applyNumberFormat="1" applyFont="1" applyFill="1" applyBorder="1" applyAlignment="1">
      <alignment horizontal="center" vertical="center"/>
    </xf>
    <xf numFmtId="1" fontId="28" fillId="10" borderId="43" xfId="0" applyNumberFormat="1" applyFont="1" applyFill="1" applyBorder="1" applyAlignment="1">
      <alignment horizontal="center" vertical="center"/>
    </xf>
    <xf numFmtId="0" fontId="26" fillId="10" borderId="43" xfId="0" applyFont="1" applyFill="1" applyBorder="1" applyAlignment="1">
      <alignment horizontal="center" vertical="center"/>
    </xf>
    <xf numFmtId="164" fontId="27" fillId="10" borderId="43" xfId="0" applyNumberFormat="1" applyFont="1" applyFill="1" applyBorder="1" applyAlignment="1">
      <alignment horizontal="center" vertical="center"/>
    </xf>
    <xf numFmtId="0" fontId="13" fillId="12" borderId="43" xfId="0" applyFont="1" applyFill="1" applyBorder="1" applyAlignment="1">
      <alignment horizontal="center" vertical="center"/>
    </xf>
    <xf numFmtId="1" fontId="28" fillId="12" borderId="4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vertical="top"/>
    </xf>
    <xf numFmtId="0" fontId="13" fillId="2" borderId="43" xfId="0" applyFont="1" applyFill="1" applyBorder="1" applyAlignment="1">
      <alignment horizontal="center" vertical="center"/>
    </xf>
    <xf numFmtId="2" fontId="27" fillId="9" borderId="43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1" fontId="27" fillId="19" borderId="43" xfId="0" applyNumberFormat="1" applyFont="1" applyFill="1" applyBorder="1" applyAlignment="1">
      <alignment horizontal="center" vertical="center"/>
    </xf>
    <xf numFmtId="1" fontId="28" fillId="19" borderId="43" xfId="0" applyNumberFormat="1" applyFont="1" applyFill="1" applyBorder="1" applyAlignment="1">
      <alignment horizontal="center" vertical="center"/>
    </xf>
    <xf numFmtId="0" fontId="13" fillId="7" borderId="45" xfId="0" applyFont="1" applyFill="1" applyBorder="1" applyAlignment="1">
      <alignment horizontal="center" vertical="center"/>
    </xf>
    <xf numFmtId="0" fontId="23" fillId="7" borderId="45" xfId="0" applyFont="1" applyFill="1" applyBorder="1" applyAlignment="1">
      <alignment horizontal="center" vertical="center"/>
    </xf>
    <xf numFmtId="164" fontId="24" fillId="7" borderId="45" xfId="0" applyNumberFormat="1" applyFont="1" applyFill="1" applyBorder="1" applyAlignment="1">
      <alignment horizontal="center" vertical="center"/>
    </xf>
    <xf numFmtId="1" fontId="23" fillId="2" borderId="45" xfId="0" applyNumberFormat="1" applyFont="1" applyFill="1" applyBorder="1" applyAlignment="1">
      <alignment horizontal="center" vertical="center"/>
    </xf>
    <xf numFmtId="1" fontId="23" fillId="7" borderId="45" xfId="0" applyNumberFormat="1" applyFont="1" applyFill="1" applyBorder="1" applyAlignment="1">
      <alignment horizontal="center" vertical="center"/>
    </xf>
    <xf numFmtId="1" fontId="24" fillId="7" borderId="45" xfId="0" applyNumberFormat="1" applyFont="1" applyFill="1" applyBorder="1" applyAlignment="1">
      <alignment horizontal="center" vertical="center"/>
    </xf>
    <xf numFmtId="0" fontId="13" fillId="8" borderId="45" xfId="0" applyFont="1" applyFill="1" applyBorder="1" applyAlignment="1">
      <alignment horizontal="center" vertical="center"/>
    </xf>
    <xf numFmtId="1" fontId="25" fillId="7" borderId="45" xfId="0" applyNumberFormat="1" applyFont="1" applyFill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/>
    </xf>
    <xf numFmtId="1" fontId="14" fillId="2" borderId="47" xfId="0" applyNumberFormat="1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 wrapText="1"/>
    </xf>
    <xf numFmtId="0" fontId="21" fillId="2" borderId="47" xfId="0" applyFont="1" applyFill="1" applyBorder="1" applyAlignment="1">
      <alignment horizontal="center" vertical="center" wrapText="1"/>
    </xf>
    <xf numFmtId="1" fontId="21" fillId="2" borderId="47" xfId="0" applyNumberFormat="1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vertical="center"/>
    </xf>
    <xf numFmtId="0" fontId="3" fillId="7" borderId="52" xfId="0" applyFont="1" applyFill="1" applyBorder="1" applyAlignment="1">
      <alignment vertical="center"/>
    </xf>
    <xf numFmtId="0" fontId="3" fillId="9" borderId="52" xfId="0" applyFont="1" applyFill="1" applyBorder="1"/>
    <xf numFmtId="0" fontId="3" fillId="22" borderId="52" xfId="0" applyFont="1" applyFill="1" applyBorder="1"/>
    <xf numFmtId="0" fontId="3" fillId="7" borderId="52" xfId="0" applyFont="1" applyFill="1" applyBorder="1"/>
    <xf numFmtId="0" fontId="3" fillId="10" borderId="52" xfId="0" applyFont="1" applyFill="1" applyBorder="1"/>
    <xf numFmtId="0" fontId="29" fillId="7" borderId="52" xfId="0" applyFont="1" applyFill="1" applyBorder="1"/>
    <xf numFmtId="0" fontId="29" fillId="9" borderId="52" xfId="0" applyFont="1" applyFill="1" applyBorder="1"/>
    <xf numFmtId="0" fontId="3" fillId="13" borderId="52" xfId="0" applyFont="1" applyFill="1" applyBorder="1"/>
    <xf numFmtId="0" fontId="3" fillId="9" borderId="52" xfId="0" applyFont="1" applyFill="1" applyBorder="1" applyAlignment="1">
      <alignment wrapText="1"/>
    </xf>
    <xf numFmtId="0" fontId="3" fillId="14" borderId="52" xfId="0" applyFont="1" applyFill="1" applyBorder="1"/>
    <xf numFmtId="0" fontId="3" fillId="21" borderId="52" xfId="0" applyFont="1" applyFill="1" applyBorder="1"/>
    <xf numFmtId="0" fontId="31" fillId="19" borderId="52" xfId="0" applyFont="1" applyFill="1" applyBorder="1" applyAlignment="1"/>
    <xf numFmtId="0" fontId="3" fillId="16" borderId="52" xfId="0" applyFont="1" applyFill="1" applyBorder="1"/>
    <xf numFmtId="0" fontId="3" fillId="12" borderId="52" xfId="0" applyFont="1" applyFill="1" applyBorder="1"/>
    <xf numFmtId="0" fontId="3" fillId="2" borderId="52" xfId="0" applyFont="1" applyFill="1" applyBorder="1"/>
    <xf numFmtId="0" fontId="3" fillId="19" borderId="52" xfId="0" applyFont="1" applyFill="1" applyBorder="1"/>
    <xf numFmtId="0" fontId="13" fillId="25" borderId="43" xfId="0" applyFont="1" applyFill="1" applyBorder="1" applyAlignment="1">
      <alignment horizontal="center" vertical="center"/>
    </xf>
    <xf numFmtId="0" fontId="23" fillId="25" borderId="43" xfId="0" applyFont="1" applyFill="1" applyBorder="1" applyAlignment="1">
      <alignment horizontal="center" vertical="center"/>
    </xf>
    <xf numFmtId="164" fontId="24" fillId="25" borderId="43" xfId="0" applyNumberFormat="1" applyFont="1" applyFill="1" applyBorder="1" applyAlignment="1">
      <alignment horizontal="center" vertical="center"/>
    </xf>
    <xf numFmtId="0" fontId="3" fillId="25" borderId="52" xfId="0" applyFont="1" applyFill="1" applyBorder="1"/>
    <xf numFmtId="0" fontId="13" fillId="26" borderId="43" xfId="0" applyFont="1" applyFill="1" applyBorder="1" applyAlignment="1">
      <alignment horizontal="center" vertical="center"/>
    </xf>
    <xf numFmtId="0" fontId="23" fillId="26" borderId="43" xfId="0" applyFont="1" applyFill="1" applyBorder="1" applyAlignment="1">
      <alignment horizontal="center" vertical="center"/>
    </xf>
    <xf numFmtId="164" fontId="24" fillId="26" borderId="43" xfId="0" applyNumberFormat="1" applyFont="1" applyFill="1" applyBorder="1" applyAlignment="1">
      <alignment horizontal="center" vertical="center"/>
    </xf>
    <xf numFmtId="1" fontId="26" fillId="26" borderId="43" xfId="0" applyNumberFormat="1" applyFont="1" applyFill="1" applyBorder="1" applyAlignment="1">
      <alignment horizontal="center" vertical="center"/>
    </xf>
    <xf numFmtId="1" fontId="27" fillId="26" borderId="43" xfId="0" applyNumberFormat="1" applyFont="1" applyFill="1" applyBorder="1" applyAlignment="1">
      <alignment horizontal="center" vertical="center"/>
    </xf>
    <xf numFmtId="1" fontId="28" fillId="26" borderId="43" xfId="0" applyNumberFormat="1" applyFont="1" applyFill="1" applyBorder="1" applyAlignment="1">
      <alignment horizontal="center" vertical="center"/>
    </xf>
    <xf numFmtId="0" fontId="3" fillId="26" borderId="52" xfId="0" applyFont="1" applyFill="1" applyBorder="1"/>
    <xf numFmtId="0" fontId="13" fillId="26" borderId="54" xfId="0" applyFont="1" applyFill="1" applyBorder="1" applyAlignment="1">
      <alignment horizontal="center" vertical="center"/>
    </xf>
    <xf numFmtId="0" fontId="23" fillId="26" borderId="54" xfId="0" applyFont="1" applyFill="1" applyBorder="1" applyAlignment="1">
      <alignment horizontal="center" vertical="center"/>
    </xf>
    <xf numFmtId="164" fontId="24" fillId="26" borderId="54" xfId="0" applyNumberFormat="1" applyFont="1" applyFill="1" applyBorder="1" applyAlignment="1">
      <alignment horizontal="center" vertical="center"/>
    </xf>
    <xf numFmtId="1" fontId="26" fillId="26" borderId="54" xfId="0" applyNumberFormat="1" applyFont="1" applyFill="1" applyBorder="1" applyAlignment="1">
      <alignment horizontal="center" vertical="center"/>
    </xf>
    <xf numFmtId="1" fontId="27" fillId="26" borderId="54" xfId="0" applyNumberFormat="1" applyFont="1" applyFill="1" applyBorder="1" applyAlignment="1">
      <alignment horizontal="center" vertical="center"/>
    </xf>
    <xf numFmtId="0" fontId="3" fillId="26" borderId="55" xfId="0" applyFont="1" applyFill="1" applyBorder="1"/>
    <xf numFmtId="0" fontId="13" fillId="28" borderId="43" xfId="0" applyFont="1" applyFill="1" applyBorder="1" applyAlignment="1">
      <alignment horizontal="center" vertical="center"/>
    </xf>
    <xf numFmtId="0" fontId="26" fillId="28" borderId="43" xfId="0" applyFont="1" applyFill="1" applyBorder="1" applyAlignment="1">
      <alignment horizontal="center" vertical="center"/>
    </xf>
    <xf numFmtId="164" fontId="27" fillId="28" borderId="43" xfId="0" applyNumberFormat="1" applyFont="1" applyFill="1" applyBorder="1" applyAlignment="1">
      <alignment horizontal="center" vertical="center"/>
    </xf>
    <xf numFmtId="1" fontId="26" fillId="28" borderId="43" xfId="0" applyNumberFormat="1" applyFont="1" applyFill="1" applyBorder="1" applyAlignment="1">
      <alignment horizontal="center" vertical="center"/>
    </xf>
    <xf numFmtId="1" fontId="27" fillId="28" borderId="43" xfId="0" applyNumberFormat="1" applyFont="1" applyFill="1" applyBorder="1" applyAlignment="1">
      <alignment horizontal="center" vertical="center"/>
    </xf>
    <xf numFmtId="0" fontId="13" fillId="27" borderId="43" xfId="0" applyFont="1" applyFill="1" applyBorder="1" applyAlignment="1">
      <alignment horizontal="center" vertical="center"/>
    </xf>
    <xf numFmtId="1" fontId="28" fillId="28" borderId="43" xfId="0" applyNumberFormat="1" applyFont="1" applyFill="1" applyBorder="1" applyAlignment="1">
      <alignment horizontal="center" vertical="center"/>
    </xf>
    <xf numFmtId="0" fontId="3" fillId="28" borderId="52" xfId="0" applyFont="1" applyFill="1" applyBorder="1"/>
    <xf numFmtId="0" fontId="23" fillId="28" borderId="43" xfId="0" applyFont="1" applyFill="1" applyBorder="1" applyAlignment="1">
      <alignment horizontal="center" vertical="center"/>
    </xf>
    <xf numFmtId="164" fontId="24" fillId="28" borderId="43" xfId="0" applyNumberFormat="1" applyFont="1" applyFill="1" applyBorder="1" applyAlignment="1">
      <alignment horizontal="center" vertical="center"/>
    </xf>
    <xf numFmtId="1" fontId="23" fillId="28" borderId="43" xfId="0" applyNumberFormat="1" applyFont="1" applyFill="1" applyBorder="1" applyAlignment="1">
      <alignment horizontal="center" vertical="center"/>
    </xf>
    <xf numFmtId="1" fontId="24" fillId="28" borderId="43" xfId="0" applyNumberFormat="1" applyFont="1" applyFill="1" applyBorder="1" applyAlignment="1">
      <alignment horizontal="center" vertical="center"/>
    </xf>
    <xf numFmtId="1" fontId="25" fillId="28" borderId="43" xfId="0" applyNumberFormat="1" applyFont="1" applyFill="1" applyBorder="1" applyAlignment="1">
      <alignment horizontal="center" vertical="center"/>
    </xf>
    <xf numFmtId="0" fontId="13" fillId="29" borderId="43" xfId="0" applyFont="1" applyFill="1" applyBorder="1" applyAlignment="1">
      <alignment horizontal="center" vertical="center"/>
    </xf>
    <xf numFmtId="0" fontId="26" fillId="29" borderId="43" xfId="0" applyFont="1" applyFill="1" applyBorder="1" applyAlignment="1">
      <alignment horizontal="center" vertical="center"/>
    </xf>
    <xf numFmtId="164" fontId="27" fillId="29" borderId="43" xfId="0" applyNumberFormat="1" applyFont="1" applyFill="1" applyBorder="1" applyAlignment="1">
      <alignment horizontal="center" vertical="center"/>
    </xf>
    <xf numFmtId="1" fontId="26" fillId="29" borderId="43" xfId="0" applyNumberFormat="1" applyFont="1" applyFill="1" applyBorder="1" applyAlignment="1">
      <alignment horizontal="center" vertical="center"/>
    </xf>
    <xf numFmtId="1" fontId="27" fillId="29" borderId="43" xfId="0" applyNumberFormat="1" applyFont="1" applyFill="1" applyBorder="1" applyAlignment="1">
      <alignment horizontal="center" vertical="center"/>
    </xf>
    <xf numFmtId="1" fontId="28" fillId="29" borderId="43" xfId="0" applyNumberFormat="1" applyFont="1" applyFill="1" applyBorder="1" applyAlignment="1">
      <alignment horizontal="center" vertical="center"/>
    </xf>
    <xf numFmtId="0" fontId="3" fillId="29" borderId="52" xfId="0" applyFont="1" applyFill="1" applyBorder="1"/>
    <xf numFmtId="0" fontId="13" fillId="30" borderId="43" xfId="0" applyFont="1" applyFill="1" applyBorder="1" applyAlignment="1">
      <alignment horizontal="center" vertical="center"/>
    </xf>
    <xf numFmtId="0" fontId="26" fillId="30" borderId="43" xfId="0" applyFont="1" applyFill="1" applyBorder="1" applyAlignment="1">
      <alignment horizontal="center" vertical="center"/>
    </xf>
    <xf numFmtId="164" fontId="27" fillId="30" borderId="43" xfId="0" applyNumberFormat="1" applyFont="1" applyFill="1" applyBorder="1" applyAlignment="1">
      <alignment horizontal="center" vertical="center"/>
    </xf>
    <xf numFmtId="1" fontId="26" fillId="30" borderId="43" xfId="0" applyNumberFormat="1" applyFont="1" applyFill="1" applyBorder="1" applyAlignment="1">
      <alignment horizontal="center" vertical="center"/>
    </xf>
    <xf numFmtId="1" fontId="27" fillId="30" borderId="43" xfId="0" applyNumberFormat="1" applyFont="1" applyFill="1" applyBorder="1" applyAlignment="1">
      <alignment horizontal="center" vertical="center"/>
    </xf>
    <xf numFmtId="1" fontId="28" fillId="30" borderId="43" xfId="0" applyNumberFormat="1" applyFont="1" applyFill="1" applyBorder="1" applyAlignment="1">
      <alignment horizontal="center" vertical="center"/>
    </xf>
    <xf numFmtId="0" fontId="3" fillId="30" borderId="52" xfId="0" applyFont="1" applyFill="1" applyBorder="1"/>
    <xf numFmtId="0" fontId="13" fillId="31" borderId="43" xfId="0" applyFont="1" applyFill="1" applyBorder="1" applyAlignment="1">
      <alignment horizontal="center" vertical="center"/>
    </xf>
    <xf numFmtId="0" fontId="26" fillId="31" borderId="43" xfId="0" applyFont="1" applyFill="1" applyBorder="1" applyAlignment="1">
      <alignment horizontal="center" vertical="center"/>
    </xf>
    <xf numFmtId="164" fontId="27" fillId="31" borderId="43" xfId="0" applyNumberFormat="1" applyFont="1" applyFill="1" applyBorder="1" applyAlignment="1">
      <alignment horizontal="center" vertical="center"/>
    </xf>
    <xf numFmtId="1" fontId="26" fillId="31" borderId="43" xfId="0" applyNumberFormat="1" applyFont="1" applyFill="1" applyBorder="1" applyAlignment="1">
      <alignment horizontal="center" vertical="center"/>
    </xf>
    <xf numFmtId="1" fontId="27" fillId="31" borderId="43" xfId="0" applyNumberFormat="1" applyFont="1" applyFill="1" applyBorder="1" applyAlignment="1">
      <alignment horizontal="center" vertical="center"/>
    </xf>
    <xf numFmtId="1" fontId="28" fillId="31" borderId="43" xfId="0" applyNumberFormat="1" applyFont="1" applyFill="1" applyBorder="1" applyAlignment="1">
      <alignment horizontal="center" vertical="center"/>
    </xf>
    <xf numFmtId="0" fontId="3" fillId="31" borderId="52" xfId="0" applyFont="1" applyFill="1" applyBorder="1"/>
    <xf numFmtId="0" fontId="26" fillId="32" borderId="43" xfId="0" applyFont="1" applyFill="1" applyBorder="1" applyAlignment="1">
      <alignment horizontal="center" vertical="center"/>
    </xf>
    <xf numFmtId="164" fontId="27" fillId="32" borderId="43" xfId="0" applyNumberFormat="1" applyFont="1" applyFill="1" applyBorder="1" applyAlignment="1">
      <alignment horizontal="center" vertical="center"/>
    </xf>
    <xf numFmtId="1" fontId="26" fillId="32" borderId="43" xfId="0" applyNumberFormat="1" applyFont="1" applyFill="1" applyBorder="1" applyAlignment="1">
      <alignment horizontal="center" vertical="center"/>
    </xf>
    <xf numFmtId="1" fontId="27" fillId="32" borderId="43" xfId="0" applyNumberFormat="1" applyFont="1" applyFill="1" applyBorder="1" applyAlignment="1">
      <alignment horizontal="center" vertical="center"/>
    </xf>
    <xf numFmtId="1" fontId="28" fillId="32" borderId="43" xfId="0" applyNumberFormat="1" applyFont="1" applyFill="1" applyBorder="1" applyAlignment="1">
      <alignment horizontal="center" vertical="center"/>
    </xf>
    <xf numFmtId="0" fontId="13" fillId="33" borderId="43" xfId="0" applyFont="1" applyFill="1" applyBorder="1" applyAlignment="1">
      <alignment horizontal="center" vertical="center"/>
    </xf>
    <xf numFmtId="0" fontId="26" fillId="33" borderId="43" xfId="0" applyFont="1" applyFill="1" applyBorder="1" applyAlignment="1">
      <alignment horizontal="center" vertical="center"/>
    </xf>
    <xf numFmtId="164" fontId="27" fillId="33" borderId="43" xfId="0" applyNumberFormat="1" applyFont="1" applyFill="1" applyBorder="1" applyAlignment="1">
      <alignment horizontal="center" vertical="center"/>
    </xf>
    <xf numFmtId="1" fontId="26" fillId="33" borderId="43" xfId="0" applyNumberFormat="1" applyFont="1" applyFill="1" applyBorder="1" applyAlignment="1">
      <alignment horizontal="center" vertical="center"/>
    </xf>
    <xf numFmtId="1" fontId="27" fillId="33" borderId="43" xfId="0" applyNumberFormat="1" applyFont="1" applyFill="1" applyBorder="1" applyAlignment="1">
      <alignment horizontal="center" vertical="center"/>
    </xf>
    <xf numFmtId="1" fontId="28" fillId="33" borderId="43" xfId="0" applyNumberFormat="1" applyFont="1" applyFill="1" applyBorder="1" applyAlignment="1">
      <alignment horizontal="center" vertical="center"/>
    </xf>
    <xf numFmtId="0" fontId="3" fillId="33" borderId="52" xfId="0" applyFont="1" applyFill="1" applyBorder="1"/>
    <xf numFmtId="0" fontId="26" fillId="26" borderId="43" xfId="0" applyFont="1" applyFill="1" applyBorder="1" applyAlignment="1">
      <alignment horizontal="center" vertical="center"/>
    </xf>
    <xf numFmtId="164" fontId="27" fillId="26" borderId="43" xfId="0" applyNumberFormat="1" applyFont="1" applyFill="1" applyBorder="1" applyAlignment="1">
      <alignment horizontal="center" vertical="center"/>
    </xf>
    <xf numFmtId="0" fontId="13" fillId="34" borderId="43" xfId="0" applyFont="1" applyFill="1" applyBorder="1" applyAlignment="1">
      <alignment horizontal="center" vertical="center"/>
    </xf>
    <xf numFmtId="0" fontId="26" fillId="34" borderId="43" xfId="0" applyFont="1" applyFill="1" applyBorder="1" applyAlignment="1">
      <alignment horizontal="center" vertical="center"/>
    </xf>
    <xf numFmtId="164" fontId="27" fillId="34" borderId="43" xfId="0" applyNumberFormat="1" applyFont="1" applyFill="1" applyBorder="1" applyAlignment="1">
      <alignment horizontal="center" vertical="center"/>
    </xf>
    <xf numFmtId="1" fontId="26" fillId="34" borderId="43" xfId="0" applyNumberFormat="1" applyFont="1" applyFill="1" applyBorder="1" applyAlignment="1">
      <alignment horizontal="center" vertical="center"/>
    </xf>
    <xf numFmtId="1" fontId="27" fillId="34" borderId="43" xfId="0" applyNumberFormat="1" applyFont="1" applyFill="1" applyBorder="1" applyAlignment="1">
      <alignment horizontal="center" vertical="center"/>
    </xf>
    <xf numFmtId="1" fontId="28" fillId="34" borderId="43" xfId="0" applyNumberFormat="1" applyFont="1" applyFill="1" applyBorder="1" applyAlignment="1">
      <alignment horizontal="center" vertical="center"/>
    </xf>
    <xf numFmtId="0" fontId="3" fillId="34" borderId="52" xfId="0" applyFont="1" applyFill="1" applyBorder="1"/>
    <xf numFmtId="0" fontId="13" fillId="32" borderId="43" xfId="0" applyFont="1" applyFill="1" applyBorder="1" applyAlignment="1">
      <alignment horizontal="center" vertical="center"/>
    </xf>
    <xf numFmtId="0" fontId="3" fillId="32" borderId="52" xfId="0" applyFont="1" applyFill="1" applyBorder="1"/>
    <xf numFmtId="0" fontId="23" fillId="32" borderId="43" xfId="0" applyFont="1" applyFill="1" applyBorder="1" applyAlignment="1">
      <alignment horizontal="center" vertical="center"/>
    </xf>
    <xf numFmtId="164" fontId="24" fillId="32" borderId="43" xfId="0" applyNumberFormat="1" applyFont="1" applyFill="1" applyBorder="1" applyAlignment="1">
      <alignment horizontal="center" vertical="center"/>
    </xf>
    <xf numFmtId="1" fontId="23" fillId="32" borderId="43" xfId="0" applyNumberFormat="1" applyFont="1" applyFill="1" applyBorder="1" applyAlignment="1">
      <alignment horizontal="center" vertical="center"/>
    </xf>
    <xf numFmtId="0" fontId="13" fillId="35" borderId="43" xfId="0" applyFont="1" applyFill="1" applyBorder="1" applyAlignment="1">
      <alignment horizontal="center" vertical="center"/>
    </xf>
    <xf numFmtId="0" fontId="26" fillId="35" borderId="43" xfId="0" applyFont="1" applyFill="1" applyBorder="1" applyAlignment="1">
      <alignment horizontal="center" vertical="center"/>
    </xf>
    <xf numFmtId="164" fontId="27" fillId="35" borderId="43" xfId="0" applyNumberFormat="1" applyFont="1" applyFill="1" applyBorder="1" applyAlignment="1">
      <alignment horizontal="center" vertical="center"/>
    </xf>
    <xf numFmtId="1" fontId="26" fillId="35" borderId="43" xfId="0" applyNumberFormat="1" applyFont="1" applyFill="1" applyBorder="1" applyAlignment="1">
      <alignment horizontal="center" vertical="center"/>
    </xf>
    <xf numFmtId="1" fontId="27" fillId="35" borderId="43" xfId="0" applyNumberFormat="1" applyFont="1" applyFill="1" applyBorder="1" applyAlignment="1">
      <alignment horizontal="center" vertical="center"/>
    </xf>
    <xf numFmtId="1" fontId="28" fillId="35" borderId="43" xfId="0" applyNumberFormat="1" applyFont="1" applyFill="1" applyBorder="1" applyAlignment="1">
      <alignment horizontal="center" vertical="center"/>
    </xf>
    <xf numFmtId="0" fontId="3" fillId="35" borderId="52" xfId="0" applyFont="1" applyFill="1" applyBorder="1"/>
    <xf numFmtId="0" fontId="13" fillId="36" borderId="43" xfId="0" applyFont="1" applyFill="1" applyBorder="1" applyAlignment="1">
      <alignment horizontal="center" vertical="center"/>
    </xf>
    <xf numFmtId="0" fontId="26" fillId="36" borderId="43" xfId="0" applyFont="1" applyFill="1" applyBorder="1" applyAlignment="1">
      <alignment horizontal="center" vertical="center"/>
    </xf>
    <xf numFmtId="164" fontId="27" fillId="36" borderId="43" xfId="0" applyNumberFormat="1" applyFont="1" applyFill="1" applyBorder="1" applyAlignment="1">
      <alignment horizontal="center" vertical="center"/>
    </xf>
    <xf numFmtId="1" fontId="26" fillId="36" borderId="43" xfId="0" applyNumberFormat="1" applyFont="1" applyFill="1" applyBorder="1" applyAlignment="1">
      <alignment horizontal="center" vertical="center"/>
    </xf>
    <xf numFmtId="0" fontId="3" fillId="36" borderId="52" xfId="0" applyFont="1" applyFill="1" applyBorder="1"/>
    <xf numFmtId="1" fontId="23" fillId="25" borderId="43" xfId="0" applyNumberFormat="1" applyFont="1" applyFill="1" applyBorder="1" applyAlignment="1">
      <alignment horizontal="center" vertical="center"/>
    </xf>
    <xf numFmtId="1" fontId="24" fillId="25" borderId="43" xfId="0" applyNumberFormat="1" applyFont="1" applyFill="1" applyBorder="1" applyAlignment="1">
      <alignment horizontal="center" vertical="center"/>
    </xf>
    <xf numFmtId="0" fontId="13" fillId="6" borderId="43" xfId="0" applyFont="1" applyFill="1" applyBorder="1" applyAlignment="1">
      <alignment horizontal="center" vertical="center"/>
    </xf>
    <xf numFmtId="1" fontId="25" fillId="25" borderId="43" xfId="0" applyNumberFormat="1" applyFont="1" applyFill="1" applyBorder="1" applyAlignment="1">
      <alignment horizontal="center" vertical="center"/>
    </xf>
    <xf numFmtId="0" fontId="13" fillId="37" borderId="43" xfId="0" applyFont="1" applyFill="1" applyBorder="1" applyAlignment="1">
      <alignment horizontal="center" vertical="center"/>
    </xf>
    <xf numFmtId="0" fontId="26" fillId="37" borderId="43" xfId="0" applyFont="1" applyFill="1" applyBorder="1" applyAlignment="1">
      <alignment horizontal="center" vertical="center"/>
    </xf>
    <xf numFmtId="164" fontId="27" fillId="37" borderId="43" xfId="0" applyNumberFormat="1" applyFont="1" applyFill="1" applyBorder="1" applyAlignment="1">
      <alignment horizontal="center" vertical="center"/>
    </xf>
    <xf numFmtId="1" fontId="26" fillId="37" borderId="43" xfId="0" applyNumberFormat="1" applyFont="1" applyFill="1" applyBorder="1" applyAlignment="1">
      <alignment horizontal="center" vertical="center"/>
    </xf>
    <xf numFmtId="1" fontId="27" fillId="37" borderId="43" xfId="0" applyNumberFormat="1" applyFont="1" applyFill="1" applyBorder="1" applyAlignment="1">
      <alignment horizontal="center" vertical="center"/>
    </xf>
    <xf numFmtId="1" fontId="28" fillId="37" borderId="43" xfId="0" applyNumberFormat="1" applyFont="1" applyFill="1" applyBorder="1" applyAlignment="1">
      <alignment horizontal="center" vertical="center"/>
    </xf>
    <xf numFmtId="0" fontId="3" fillId="37" borderId="52" xfId="0" applyFont="1" applyFill="1" applyBorder="1" applyAlignment="1">
      <alignment vertical="center"/>
    </xf>
    <xf numFmtId="0" fontId="13" fillId="38" borderId="43" xfId="0" applyFont="1" applyFill="1" applyBorder="1" applyAlignment="1">
      <alignment horizontal="center" vertical="center"/>
    </xf>
    <xf numFmtId="0" fontId="26" fillId="38" borderId="43" xfId="0" applyFont="1" applyFill="1" applyBorder="1" applyAlignment="1">
      <alignment horizontal="center" vertical="center"/>
    </xf>
    <xf numFmtId="164" fontId="27" fillId="38" borderId="43" xfId="0" applyNumberFormat="1" applyFont="1" applyFill="1" applyBorder="1" applyAlignment="1">
      <alignment horizontal="center" vertical="center"/>
    </xf>
    <xf numFmtId="1" fontId="26" fillId="38" borderId="43" xfId="0" applyNumberFormat="1" applyFont="1" applyFill="1" applyBorder="1" applyAlignment="1">
      <alignment horizontal="center" vertical="center"/>
    </xf>
    <xf numFmtId="1" fontId="27" fillId="38" borderId="43" xfId="0" applyNumberFormat="1" applyFont="1" applyFill="1" applyBorder="1" applyAlignment="1">
      <alignment horizontal="center" vertical="center"/>
    </xf>
    <xf numFmtId="1" fontId="28" fillId="38" borderId="43" xfId="0" applyNumberFormat="1" applyFont="1" applyFill="1" applyBorder="1" applyAlignment="1">
      <alignment horizontal="center" vertical="center"/>
    </xf>
    <xf numFmtId="0" fontId="3" fillId="38" borderId="52" xfId="0" applyFont="1" applyFill="1" applyBorder="1"/>
    <xf numFmtId="0" fontId="13" fillId="5" borderId="43" xfId="0" applyFont="1" applyFill="1" applyBorder="1" applyAlignment="1">
      <alignment horizontal="center" vertical="center"/>
    </xf>
    <xf numFmtId="0" fontId="26" fillId="5" borderId="43" xfId="0" applyFont="1" applyFill="1" applyBorder="1" applyAlignment="1">
      <alignment horizontal="center" vertical="center"/>
    </xf>
    <xf numFmtId="164" fontId="27" fillId="5" borderId="43" xfId="0" applyNumberFormat="1" applyFont="1" applyFill="1" applyBorder="1" applyAlignment="1">
      <alignment horizontal="center" vertical="center"/>
    </xf>
    <xf numFmtId="1" fontId="26" fillId="5" borderId="43" xfId="0" applyNumberFormat="1" applyFont="1" applyFill="1" applyBorder="1" applyAlignment="1">
      <alignment horizontal="center" vertical="center"/>
    </xf>
    <xf numFmtId="1" fontId="27" fillId="5" borderId="43" xfId="0" applyNumberFormat="1" applyFont="1" applyFill="1" applyBorder="1" applyAlignment="1">
      <alignment horizontal="center" vertical="center"/>
    </xf>
    <xf numFmtId="1" fontId="28" fillId="5" borderId="43" xfId="0" applyNumberFormat="1" applyFont="1" applyFill="1" applyBorder="1" applyAlignment="1">
      <alignment horizontal="center" vertical="center"/>
    </xf>
    <xf numFmtId="0" fontId="3" fillId="5" borderId="52" xfId="0" applyFont="1" applyFill="1" applyBorder="1"/>
    <xf numFmtId="1" fontId="28" fillId="39" borderId="43" xfId="0" applyNumberFormat="1" applyFont="1" applyFill="1" applyBorder="1" applyAlignment="1">
      <alignment horizontal="center" vertical="center"/>
    </xf>
    <xf numFmtId="0" fontId="12" fillId="37" borderId="4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top"/>
    </xf>
    <xf numFmtId="0" fontId="13" fillId="37" borderId="43" xfId="0" applyFont="1" applyFill="1" applyBorder="1" applyAlignment="1">
      <alignment horizontal="left" vertical="center"/>
    </xf>
    <xf numFmtId="0" fontId="13" fillId="7" borderId="45" xfId="0" applyFont="1" applyFill="1" applyBorder="1" applyAlignment="1">
      <alignment horizontal="left" vertical="center"/>
    </xf>
    <xf numFmtId="0" fontId="12" fillId="7" borderId="43" xfId="0" applyFont="1" applyFill="1" applyBorder="1" applyAlignment="1">
      <alignment horizontal="left" vertical="center"/>
    </xf>
    <xf numFmtId="0" fontId="13" fillId="7" borderId="43" xfId="0" applyFont="1" applyFill="1" applyBorder="1" applyAlignment="1">
      <alignment horizontal="left" vertical="center"/>
    </xf>
    <xf numFmtId="0" fontId="12" fillId="9" borderId="43" xfId="0" applyFont="1" applyFill="1" applyBorder="1" applyAlignment="1">
      <alignment horizontal="left" vertical="center"/>
    </xf>
    <xf numFmtId="0" fontId="13" fillId="9" borderId="43" xfId="0" applyFont="1" applyFill="1" applyBorder="1" applyAlignment="1">
      <alignment horizontal="left" vertical="center"/>
    </xf>
    <xf numFmtId="0" fontId="13" fillId="22" borderId="43" xfId="0" applyFont="1" applyFill="1" applyBorder="1" applyAlignment="1">
      <alignment horizontal="left" vertical="center"/>
    </xf>
    <xf numFmtId="0" fontId="13" fillId="25" borderId="43" xfId="0" applyFont="1" applyFill="1" applyBorder="1" applyAlignment="1">
      <alignment horizontal="left" vertical="center"/>
    </xf>
    <xf numFmtId="0" fontId="13" fillId="13" borderId="43" xfId="0" applyFont="1" applyFill="1" applyBorder="1" applyAlignment="1">
      <alignment horizontal="left" vertical="center"/>
    </xf>
    <xf numFmtId="0" fontId="13" fillId="32" borderId="43" xfId="0" applyFont="1" applyFill="1" applyBorder="1" applyAlignment="1">
      <alignment horizontal="left" vertical="center"/>
    </xf>
    <xf numFmtId="0" fontId="13" fillId="36" borderId="43" xfId="0" applyFont="1" applyFill="1" applyBorder="1" applyAlignment="1">
      <alignment horizontal="left" vertical="center"/>
    </xf>
    <xf numFmtId="0" fontId="13" fillId="21" borderId="43" xfId="0" applyFont="1" applyFill="1" applyBorder="1" applyAlignment="1">
      <alignment horizontal="left" vertical="center"/>
    </xf>
    <xf numFmtId="0" fontId="13" fillId="23" borderId="43" xfId="0" applyFont="1" applyFill="1" applyBorder="1" applyAlignment="1">
      <alignment horizontal="left" vertical="center"/>
    </xf>
    <xf numFmtId="0" fontId="13" fillId="14" borderId="43" xfId="0" applyFont="1" applyFill="1" applyBorder="1" applyAlignment="1">
      <alignment horizontal="left" vertical="center"/>
    </xf>
    <xf numFmtId="0" fontId="13" fillId="35" borderId="43" xfId="0" applyFont="1" applyFill="1" applyBorder="1" applyAlignment="1">
      <alignment horizontal="left" vertical="center"/>
    </xf>
    <xf numFmtId="0" fontId="13" fillId="10" borderId="43" xfId="0" applyFont="1" applyFill="1" applyBorder="1" applyAlignment="1">
      <alignment horizontal="left" vertical="center"/>
    </xf>
    <xf numFmtId="0" fontId="13" fillId="38" borderId="43" xfId="0" applyFont="1" applyFill="1" applyBorder="1" applyAlignment="1">
      <alignment horizontal="left" vertical="center"/>
    </xf>
    <xf numFmtId="0" fontId="13" fillId="5" borderId="43" xfId="0" applyFont="1" applyFill="1" applyBorder="1" applyAlignment="1">
      <alignment horizontal="left" vertical="center"/>
    </xf>
    <xf numFmtId="0" fontId="13" fillId="34" borderId="43" xfId="0" applyFont="1" applyFill="1" applyBorder="1" applyAlignment="1">
      <alignment horizontal="left" vertical="center"/>
    </xf>
    <xf numFmtId="0" fontId="13" fillId="12" borderId="43" xfId="0" applyFont="1" applyFill="1" applyBorder="1" applyAlignment="1">
      <alignment horizontal="left" vertical="center"/>
    </xf>
    <xf numFmtId="0" fontId="13" fillId="26" borderId="43" xfId="0" applyFont="1" applyFill="1" applyBorder="1" applyAlignment="1">
      <alignment horizontal="left" vertical="center"/>
    </xf>
    <xf numFmtId="0" fontId="13" fillId="2" borderId="43" xfId="0" applyFont="1" applyFill="1" applyBorder="1" applyAlignment="1">
      <alignment horizontal="left" vertical="center"/>
    </xf>
    <xf numFmtId="0" fontId="13" fillId="33" borderId="43" xfId="0" applyFont="1" applyFill="1" applyBorder="1" applyAlignment="1">
      <alignment horizontal="left" vertical="center"/>
    </xf>
    <xf numFmtId="0" fontId="13" fillId="16" borderId="43" xfId="0" applyFont="1" applyFill="1" applyBorder="1" applyAlignment="1">
      <alignment horizontal="left" vertical="center"/>
    </xf>
    <xf numFmtId="0" fontId="13" fillId="28" borderId="43" xfId="0" applyFont="1" applyFill="1" applyBorder="1" applyAlignment="1">
      <alignment horizontal="left" vertical="center"/>
    </xf>
    <xf numFmtId="0" fontId="13" fillId="31" borderId="43" xfId="0" applyFont="1" applyFill="1" applyBorder="1" applyAlignment="1">
      <alignment horizontal="left" vertical="center"/>
    </xf>
    <xf numFmtId="0" fontId="13" fillId="19" borderId="43" xfId="0" applyFont="1" applyFill="1" applyBorder="1" applyAlignment="1">
      <alignment horizontal="left" vertical="center"/>
    </xf>
    <xf numFmtId="0" fontId="13" fillId="29" borderId="43" xfId="0" applyFont="1" applyFill="1" applyBorder="1" applyAlignment="1">
      <alignment horizontal="left" vertical="center"/>
    </xf>
    <xf numFmtId="0" fontId="13" fillId="30" borderId="43" xfId="0" applyFont="1" applyFill="1" applyBorder="1" applyAlignment="1">
      <alignment horizontal="left" vertical="center"/>
    </xf>
    <xf numFmtId="0" fontId="13" fillId="26" borderId="54" xfId="0" applyFont="1" applyFill="1" applyBorder="1" applyAlignment="1">
      <alignment horizontal="left" vertical="center"/>
    </xf>
    <xf numFmtId="0" fontId="12" fillId="7" borderId="45" xfId="0" applyFont="1" applyFill="1" applyBorder="1" applyAlignment="1">
      <alignment horizontal="center" vertical="center"/>
    </xf>
    <xf numFmtId="0" fontId="12" fillId="22" borderId="43" xfId="0" applyFont="1" applyFill="1" applyBorder="1" applyAlignment="1">
      <alignment horizontal="center" vertical="center"/>
    </xf>
    <xf numFmtId="0" fontId="12" fillId="25" borderId="43" xfId="0" applyFont="1" applyFill="1" applyBorder="1" applyAlignment="1">
      <alignment horizontal="center" vertical="center"/>
    </xf>
    <xf numFmtId="0" fontId="12" fillId="13" borderId="43" xfId="0" applyFont="1" applyFill="1" applyBorder="1" applyAlignment="1">
      <alignment horizontal="center" vertical="center"/>
    </xf>
    <xf numFmtId="0" fontId="12" fillId="32" borderId="43" xfId="0" applyFont="1" applyFill="1" applyBorder="1" applyAlignment="1">
      <alignment horizontal="center" vertical="center"/>
    </xf>
    <xf numFmtId="0" fontId="12" fillId="36" borderId="43" xfId="0" applyFont="1" applyFill="1" applyBorder="1" applyAlignment="1">
      <alignment horizontal="center" vertical="center"/>
    </xf>
    <xf numFmtId="0" fontId="12" fillId="21" borderId="43" xfId="0" applyFont="1" applyFill="1" applyBorder="1" applyAlignment="1">
      <alignment horizontal="center" vertical="center"/>
    </xf>
    <xf numFmtId="0" fontId="12" fillId="23" borderId="43" xfId="0" applyFont="1" applyFill="1" applyBorder="1" applyAlignment="1">
      <alignment horizontal="center" vertical="center"/>
    </xf>
    <xf numFmtId="0" fontId="12" fillId="14" borderId="43" xfId="0" applyFont="1" applyFill="1" applyBorder="1" applyAlignment="1">
      <alignment horizontal="center" vertical="center"/>
    </xf>
    <xf numFmtId="0" fontId="12" fillId="35" borderId="43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 vertical="center"/>
    </xf>
    <xf numFmtId="0" fontId="12" fillId="38" borderId="43" xfId="0" applyFont="1" applyFill="1" applyBorder="1" applyAlignment="1">
      <alignment horizontal="center" vertical="center"/>
    </xf>
    <xf numFmtId="0" fontId="12" fillId="5" borderId="43" xfId="0" applyFont="1" applyFill="1" applyBorder="1" applyAlignment="1">
      <alignment horizontal="center" vertical="center"/>
    </xf>
    <xf numFmtId="0" fontId="12" fillId="34" borderId="4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26" borderId="4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33" borderId="43" xfId="0" applyFont="1" applyFill="1" applyBorder="1" applyAlignment="1">
      <alignment horizontal="center" vertical="center"/>
    </xf>
    <xf numFmtId="0" fontId="12" fillId="16" borderId="43" xfId="0" applyFont="1" applyFill="1" applyBorder="1" applyAlignment="1">
      <alignment horizontal="center" vertical="center"/>
    </xf>
    <xf numFmtId="0" fontId="12" fillId="28" borderId="43" xfId="0" applyFont="1" applyFill="1" applyBorder="1" applyAlignment="1">
      <alignment horizontal="center" vertical="center"/>
    </xf>
    <xf numFmtId="0" fontId="12" fillId="31" borderId="43" xfId="0" applyFont="1" applyFill="1" applyBorder="1" applyAlignment="1">
      <alignment horizontal="center" vertical="center"/>
    </xf>
    <xf numFmtId="0" fontId="12" fillId="19" borderId="43" xfId="0" applyFont="1" applyFill="1" applyBorder="1" applyAlignment="1">
      <alignment horizontal="center" vertical="center"/>
    </xf>
    <xf numFmtId="0" fontId="12" fillId="29" borderId="43" xfId="0" applyFont="1" applyFill="1" applyBorder="1" applyAlignment="1">
      <alignment horizontal="center" vertical="center"/>
    </xf>
    <xf numFmtId="0" fontId="12" fillId="30" borderId="43" xfId="0" applyFont="1" applyFill="1" applyBorder="1" applyAlignment="1">
      <alignment horizontal="center" vertical="center"/>
    </xf>
    <xf numFmtId="0" fontId="12" fillId="26" borderId="54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 wrapText="1"/>
    </xf>
    <xf numFmtId="0" fontId="12" fillId="7" borderId="49" xfId="0" applyFont="1" applyFill="1" applyBorder="1" applyAlignment="1">
      <alignment horizontal="center"/>
    </xf>
    <xf numFmtId="0" fontId="12" fillId="7" borderId="51" xfId="0" applyFont="1" applyFill="1" applyBorder="1" applyAlignment="1">
      <alignment horizontal="center"/>
    </xf>
    <xf numFmtId="0" fontId="12" fillId="9" borderId="51" xfId="0" applyFont="1" applyFill="1" applyBorder="1" applyAlignment="1">
      <alignment horizontal="center"/>
    </xf>
    <xf numFmtId="0" fontId="12" fillId="22" borderId="51" xfId="0" applyFont="1" applyFill="1" applyBorder="1" applyAlignment="1">
      <alignment horizontal="center"/>
    </xf>
    <xf numFmtId="0" fontId="12" fillId="25" borderId="51" xfId="0" applyFont="1" applyFill="1" applyBorder="1" applyAlignment="1">
      <alignment horizontal="center"/>
    </xf>
    <xf numFmtId="0" fontId="13" fillId="9" borderId="51" xfId="0" applyFont="1" applyFill="1" applyBorder="1" applyAlignment="1">
      <alignment horizontal="center"/>
    </xf>
    <xf numFmtId="0" fontId="12" fillId="13" borderId="51" xfId="0" applyFont="1" applyFill="1" applyBorder="1" applyAlignment="1">
      <alignment horizontal="center"/>
    </xf>
    <xf numFmtId="0" fontId="12" fillId="32" borderId="51" xfId="0" applyFont="1" applyFill="1" applyBorder="1" applyAlignment="1">
      <alignment horizontal="center"/>
    </xf>
    <xf numFmtId="0" fontId="12" fillId="36" borderId="51" xfId="0" applyFont="1" applyFill="1" applyBorder="1" applyAlignment="1">
      <alignment horizontal="center"/>
    </xf>
    <xf numFmtId="0" fontId="12" fillId="21" borderId="51" xfId="0" applyFont="1" applyFill="1" applyBorder="1" applyAlignment="1">
      <alignment horizontal="center"/>
    </xf>
    <xf numFmtId="0" fontId="12" fillId="23" borderId="51" xfId="0" applyFont="1" applyFill="1" applyBorder="1" applyAlignment="1">
      <alignment horizontal="center"/>
    </xf>
    <xf numFmtId="0" fontId="12" fillId="14" borderId="51" xfId="0" applyFont="1" applyFill="1" applyBorder="1" applyAlignment="1">
      <alignment horizontal="center"/>
    </xf>
    <xf numFmtId="0" fontId="12" fillId="35" borderId="51" xfId="0" applyFont="1" applyFill="1" applyBorder="1" applyAlignment="1">
      <alignment horizontal="center"/>
    </xf>
    <xf numFmtId="0" fontId="12" fillId="10" borderId="51" xfId="0" applyFont="1" applyFill="1" applyBorder="1" applyAlignment="1">
      <alignment horizontal="center"/>
    </xf>
    <xf numFmtId="0" fontId="12" fillId="37" borderId="51" xfId="0" applyFont="1" applyFill="1" applyBorder="1" applyAlignment="1">
      <alignment horizontal="center" vertical="center"/>
    </xf>
    <xf numFmtId="0" fontId="12" fillId="38" borderId="51" xfId="0" applyFont="1" applyFill="1" applyBorder="1" applyAlignment="1">
      <alignment horizontal="center"/>
    </xf>
    <xf numFmtId="0" fontId="12" fillId="5" borderId="51" xfId="0" applyFont="1" applyFill="1" applyBorder="1" applyAlignment="1">
      <alignment horizontal="center"/>
    </xf>
    <xf numFmtId="0" fontId="12" fillId="34" borderId="51" xfId="0" applyFont="1" applyFill="1" applyBorder="1" applyAlignment="1">
      <alignment horizontal="center"/>
    </xf>
    <xf numFmtId="0" fontId="12" fillId="12" borderId="51" xfId="0" applyFont="1" applyFill="1" applyBorder="1" applyAlignment="1">
      <alignment horizontal="center"/>
    </xf>
    <xf numFmtId="0" fontId="12" fillId="26" borderId="51" xfId="0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/>
    </xf>
    <xf numFmtId="0" fontId="12" fillId="33" borderId="51" xfId="0" applyFont="1" applyFill="1" applyBorder="1" applyAlignment="1">
      <alignment horizontal="center"/>
    </xf>
    <xf numFmtId="0" fontId="12" fillId="16" borderId="51" xfId="0" applyFont="1" applyFill="1" applyBorder="1" applyAlignment="1">
      <alignment horizontal="center"/>
    </xf>
    <xf numFmtId="0" fontId="12" fillId="28" borderId="51" xfId="0" applyFont="1" applyFill="1" applyBorder="1" applyAlignment="1">
      <alignment horizontal="center"/>
    </xf>
    <xf numFmtId="0" fontId="12" fillId="31" borderId="51" xfId="0" applyFont="1" applyFill="1" applyBorder="1" applyAlignment="1">
      <alignment horizontal="center"/>
    </xf>
    <xf numFmtId="0" fontId="12" fillId="19" borderId="51" xfId="0" applyFont="1" applyFill="1" applyBorder="1" applyAlignment="1">
      <alignment horizontal="center"/>
    </xf>
    <xf numFmtId="0" fontId="13" fillId="28" borderId="51" xfId="0" applyFont="1" applyFill="1" applyBorder="1" applyAlignment="1">
      <alignment horizontal="center"/>
    </xf>
    <xf numFmtId="0" fontId="12" fillId="29" borderId="51" xfId="0" applyFont="1" applyFill="1" applyBorder="1" applyAlignment="1">
      <alignment horizontal="center"/>
    </xf>
    <xf numFmtId="0" fontId="12" fillId="30" borderId="51" xfId="0" applyFont="1" applyFill="1" applyBorder="1" applyAlignment="1">
      <alignment horizontal="center"/>
    </xf>
    <xf numFmtId="0" fontId="12" fillId="26" borderId="53" xfId="0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top"/>
    </xf>
    <xf numFmtId="0" fontId="14" fillId="2" borderId="25" xfId="0" applyFont="1" applyFill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" fontId="24" fillId="2" borderId="38" xfId="0" applyNumberFormat="1" applyFont="1" applyFill="1" applyBorder="1" applyAlignment="1">
      <alignment horizontal="center" vertical="center" wrapText="1"/>
    </xf>
    <xf numFmtId="1" fontId="28" fillId="26" borderId="57" xfId="0" applyNumberFormat="1" applyFont="1" applyFill="1" applyBorder="1" applyAlignment="1">
      <alignment horizontal="center" vertical="center"/>
    </xf>
    <xf numFmtId="1" fontId="19" fillId="2" borderId="58" xfId="0" applyNumberFormat="1" applyFont="1" applyFill="1" applyBorder="1"/>
    <xf numFmtId="0" fontId="19" fillId="2" borderId="44" xfId="0" applyFont="1" applyFill="1" applyBorder="1"/>
    <xf numFmtId="0" fontId="13" fillId="2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10" fillId="2" borderId="8" xfId="0" applyFont="1" applyFill="1" applyBorder="1" applyAlignment="1">
      <alignment horizontal="right" vertical="top" wrapText="1"/>
    </xf>
    <xf numFmtId="0" fontId="2" fillId="0" borderId="9" xfId="0" applyFont="1" applyBorder="1"/>
    <xf numFmtId="0" fontId="2" fillId="0" borderId="10" xfId="0" applyFont="1" applyBorder="1"/>
    <xf numFmtId="0" fontId="1" fillId="2" borderId="8" xfId="0" applyFont="1" applyFill="1" applyBorder="1" applyAlignment="1">
      <alignment vertical="top" wrapText="1"/>
    </xf>
    <xf numFmtId="0" fontId="7" fillId="2" borderId="19" xfId="0" applyFont="1" applyFill="1" applyBorder="1" applyAlignment="1">
      <alignment horizontal="center" vertical="center" wrapText="1"/>
    </xf>
    <xf numFmtId="0" fontId="2" fillId="0" borderId="56" xfId="0" applyFont="1" applyBorder="1"/>
    <xf numFmtId="0" fontId="10" fillId="2" borderId="1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/>
    </xf>
    <xf numFmtId="0" fontId="2" fillId="0" borderId="24" xfId="0" applyFont="1" applyBorder="1"/>
    <xf numFmtId="0" fontId="14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7" fillId="2" borderId="5" xfId="0" applyFont="1" applyFill="1" applyBorder="1" applyAlignment="1">
      <alignment horizontal="left" vertical="top" wrapText="1"/>
    </xf>
    <xf numFmtId="0" fontId="2" fillId="0" borderId="18" xfId="0" applyFont="1" applyBorder="1"/>
    <xf numFmtId="0" fontId="7" fillId="2" borderId="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2" fillId="0" borderId="17" xfId="0" applyFont="1" applyBorder="1"/>
    <xf numFmtId="0" fontId="7" fillId="2" borderId="1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3" fillId="26" borderId="43" xfId="0" applyFont="1" applyFill="1" applyBorder="1" applyAlignment="1">
      <alignment horizontal="center" vertical="center"/>
    </xf>
    <xf numFmtId="0" fontId="2" fillId="27" borderId="43" xfId="0" applyFont="1" applyFill="1" applyBorder="1"/>
    <xf numFmtId="0" fontId="23" fillId="26" borderId="54" xfId="0" applyFont="1" applyFill="1" applyBorder="1" applyAlignment="1">
      <alignment horizontal="center" vertical="center"/>
    </xf>
    <xf numFmtId="0" fontId="2" fillId="27" borderId="54" xfId="0" applyFont="1" applyFill="1" applyBorder="1"/>
    <xf numFmtId="0" fontId="23" fillId="10" borderId="43" xfId="0" applyFont="1" applyFill="1" applyBorder="1" applyAlignment="1">
      <alignment horizontal="center" vertical="center"/>
    </xf>
    <xf numFmtId="0" fontId="2" fillId="8" borderId="43" xfId="0" applyFont="1" applyFill="1" applyBorder="1"/>
    <xf numFmtId="0" fontId="23" fillId="32" borderId="43" xfId="0" applyFont="1" applyFill="1" applyBorder="1" applyAlignment="1">
      <alignment horizontal="center" vertical="center"/>
    </xf>
    <xf numFmtId="0" fontId="23" fillId="9" borderId="43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horizontal="center" vertical="center" wrapText="1"/>
    </xf>
    <xf numFmtId="0" fontId="2" fillId="8" borderId="47" xfId="0" applyFont="1" applyFill="1" applyBorder="1"/>
    <xf numFmtId="0" fontId="23" fillId="7" borderId="43" xfId="0" applyFont="1" applyFill="1" applyBorder="1" applyAlignment="1">
      <alignment horizontal="center" vertical="center"/>
    </xf>
    <xf numFmtId="0" fontId="23" fillId="25" borderId="43" xfId="0" applyFont="1" applyFill="1" applyBorder="1" applyAlignment="1">
      <alignment horizontal="center" vertical="center"/>
    </xf>
    <xf numFmtId="0" fontId="2" fillId="6" borderId="43" xfId="0" applyFont="1" applyFill="1" applyBorder="1"/>
    <xf numFmtId="0" fontId="26" fillId="9" borderId="43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3" fillId="4" borderId="36" xfId="0" applyFont="1" applyFill="1" applyBorder="1" applyAlignment="1">
      <alignment horizontal="center" vertical="center"/>
    </xf>
    <xf numFmtId="1" fontId="21" fillId="2" borderId="59" xfId="0" applyNumberFormat="1" applyFont="1" applyFill="1" applyBorder="1" applyAlignment="1">
      <alignment horizontal="center" vertical="center" wrapText="1"/>
    </xf>
    <xf numFmtId="1" fontId="25" fillId="7" borderId="60" xfId="0" applyNumberFormat="1" applyFont="1" applyFill="1" applyBorder="1" applyAlignment="1">
      <alignment horizontal="center" vertical="center"/>
    </xf>
    <xf numFmtId="1" fontId="25" fillId="7" borderId="61" xfId="0" applyNumberFormat="1" applyFont="1" applyFill="1" applyBorder="1" applyAlignment="1">
      <alignment horizontal="center" vertical="center"/>
    </xf>
    <xf numFmtId="1" fontId="25" fillId="9" borderId="61" xfId="0" applyNumberFormat="1" applyFont="1" applyFill="1" applyBorder="1" applyAlignment="1">
      <alignment horizontal="center" vertical="center"/>
    </xf>
    <xf numFmtId="1" fontId="25" fillId="22" borderId="61" xfId="0" applyNumberFormat="1" applyFont="1" applyFill="1" applyBorder="1" applyAlignment="1">
      <alignment horizontal="center" vertical="center"/>
    </xf>
    <xf numFmtId="1" fontId="25" fillId="10" borderId="61" xfId="0" applyNumberFormat="1" applyFont="1" applyFill="1" applyBorder="1" applyAlignment="1">
      <alignment horizontal="center" vertical="center"/>
    </xf>
    <xf numFmtId="1" fontId="28" fillId="7" borderId="61" xfId="0" applyNumberFormat="1" applyFont="1" applyFill="1" applyBorder="1" applyAlignment="1">
      <alignment horizontal="center" vertical="center"/>
    </xf>
    <xf numFmtId="1" fontId="28" fillId="32" borderId="61" xfId="0" applyNumberFormat="1" applyFont="1" applyFill="1" applyBorder="1" applyAlignment="1">
      <alignment horizontal="center" vertical="center"/>
    </xf>
    <xf numFmtId="1" fontId="28" fillId="9" borderId="61" xfId="0" applyNumberFormat="1" applyFont="1" applyFill="1" applyBorder="1" applyAlignment="1">
      <alignment horizontal="center" vertical="center"/>
    </xf>
    <xf numFmtId="1" fontId="28" fillId="36" borderId="61" xfId="0" applyNumberFormat="1" applyFont="1" applyFill="1" applyBorder="1" applyAlignment="1">
      <alignment horizontal="center" vertical="center"/>
    </xf>
    <xf numFmtId="1" fontId="28" fillId="21" borderId="61" xfId="0" applyNumberFormat="1" applyFont="1" applyFill="1" applyBorder="1" applyAlignment="1">
      <alignment horizontal="center" vertical="center"/>
    </xf>
    <xf numFmtId="1" fontId="28" fillId="14" borderId="61" xfId="0" applyNumberFormat="1" applyFont="1" applyFill="1" applyBorder="1" applyAlignment="1">
      <alignment horizontal="center" vertical="center"/>
    </xf>
    <xf numFmtId="1" fontId="28" fillId="35" borderId="61" xfId="0" applyNumberFormat="1" applyFont="1" applyFill="1" applyBorder="1" applyAlignment="1">
      <alignment horizontal="center" vertical="center"/>
    </xf>
    <xf numFmtId="1" fontId="28" fillId="10" borderId="61" xfId="0" applyNumberFormat="1" applyFont="1" applyFill="1" applyBorder="1" applyAlignment="1">
      <alignment horizontal="center" vertical="center"/>
    </xf>
    <xf numFmtId="1" fontId="28" fillId="34" borderId="61" xfId="0" applyNumberFormat="1" applyFont="1" applyFill="1" applyBorder="1" applyAlignment="1">
      <alignment horizontal="center" vertical="center"/>
    </xf>
    <xf numFmtId="1" fontId="28" fillId="12" borderId="61" xfId="0" applyNumberFormat="1" applyFont="1" applyFill="1" applyBorder="1" applyAlignment="1">
      <alignment horizontal="center" vertical="center"/>
    </xf>
    <xf numFmtId="1" fontId="28" fillId="26" borderId="61" xfId="0" applyNumberFormat="1" applyFont="1" applyFill="1" applyBorder="1" applyAlignment="1">
      <alignment horizontal="center" vertical="center"/>
    </xf>
    <xf numFmtId="1" fontId="28" fillId="33" borderId="61" xfId="0" applyNumberFormat="1" applyFont="1" applyFill="1" applyBorder="1" applyAlignment="1">
      <alignment horizontal="center" vertical="center"/>
    </xf>
    <xf numFmtId="1" fontId="28" fillId="16" borderId="61" xfId="0" applyNumberFormat="1" applyFont="1" applyFill="1" applyBorder="1" applyAlignment="1">
      <alignment horizontal="center" vertical="center"/>
    </xf>
    <xf numFmtId="1" fontId="28" fillId="31" borderId="61" xfId="0" applyNumberFormat="1" applyFont="1" applyFill="1" applyBorder="1" applyAlignment="1">
      <alignment horizontal="center" vertical="center"/>
    </xf>
    <xf numFmtId="1" fontId="28" fillId="19" borderId="61" xfId="0" applyNumberFormat="1" applyFont="1" applyFill="1" applyBorder="1" applyAlignment="1">
      <alignment horizontal="center" vertical="center"/>
    </xf>
    <xf numFmtId="1" fontId="25" fillId="28" borderId="61" xfId="0" applyNumberFormat="1" applyFont="1" applyFill="1" applyBorder="1" applyAlignment="1">
      <alignment horizontal="center" vertical="center"/>
    </xf>
    <xf numFmtId="1" fontId="28" fillId="29" borderId="61" xfId="0" applyNumberFormat="1" applyFont="1" applyFill="1" applyBorder="1" applyAlignment="1">
      <alignment horizontal="center" vertical="center"/>
    </xf>
    <xf numFmtId="1" fontId="28" fillId="30" borderId="61" xfId="0" applyNumberFormat="1" applyFont="1" applyFill="1" applyBorder="1" applyAlignment="1">
      <alignment horizontal="center" vertical="center"/>
    </xf>
    <xf numFmtId="1" fontId="28" fillId="28" borderId="61" xfId="0" applyNumberFormat="1" applyFont="1" applyFill="1" applyBorder="1" applyAlignment="1">
      <alignment horizontal="center" vertical="center"/>
    </xf>
    <xf numFmtId="1" fontId="28" fillId="26" borderId="62" xfId="0" applyNumberFormat="1" applyFont="1" applyFill="1" applyBorder="1" applyAlignment="1">
      <alignment horizontal="center" vertical="center"/>
    </xf>
    <xf numFmtId="1" fontId="19" fillId="2" borderId="28" xfId="0" applyNumberFormat="1" applyFont="1" applyFill="1" applyBorder="1"/>
    <xf numFmtId="0" fontId="10" fillId="2" borderId="23" xfId="0" applyFont="1" applyFill="1" applyBorder="1" applyAlignment="1">
      <alignment vertical="top" wrapText="1"/>
    </xf>
    <xf numFmtId="1" fontId="24" fillId="2" borderId="23" xfId="0" applyNumberFormat="1" applyFont="1" applyFill="1" applyBorder="1" applyAlignment="1">
      <alignment horizontal="center" vertical="center" wrapText="1"/>
    </xf>
    <xf numFmtId="0" fontId="3" fillId="25" borderId="43" xfId="0" applyFont="1" applyFill="1" applyBorder="1"/>
    <xf numFmtId="0" fontId="3" fillId="37" borderId="43" xfId="0" applyFont="1" applyFill="1" applyBorder="1" applyAlignment="1">
      <alignment vertical="center"/>
    </xf>
    <xf numFmtId="0" fontId="3" fillId="38" borderId="43" xfId="0" applyFont="1" applyFill="1" applyBorder="1"/>
    <xf numFmtId="0" fontId="3" fillId="5" borderId="43" xfId="0" applyFont="1" applyFill="1" applyBorder="1"/>
    <xf numFmtId="0" fontId="19" fillId="2" borderId="43" xfId="0" applyFont="1" applyFill="1" applyBorder="1" applyAlignment="1">
      <alignment horizontal="center"/>
    </xf>
    <xf numFmtId="1" fontId="28" fillId="11" borderId="43" xfId="0" applyNumberFormat="1" applyFont="1" applyFill="1" applyBorder="1" applyAlignment="1">
      <alignment horizontal="center" vertical="center"/>
    </xf>
    <xf numFmtId="1" fontId="28" fillId="15" borderId="43" xfId="0" applyNumberFormat="1" applyFont="1" applyFill="1" applyBorder="1" applyAlignment="1">
      <alignment horizontal="center" vertical="center"/>
    </xf>
    <xf numFmtId="1" fontId="28" fillId="18" borderId="43" xfId="0" applyNumberFormat="1" applyFont="1" applyFill="1" applyBorder="1" applyAlignment="1">
      <alignment horizontal="center" vertical="center"/>
    </xf>
    <xf numFmtId="1" fontId="25" fillId="17" borderId="43" xfId="0" applyNumberFormat="1" applyFont="1" applyFill="1" applyBorder="1" applyAlignment="1">
      <alignment horizontal="center" vertical="center"/>
    </xf>
    <xf numFmtId="1" fontId="28" fillId="20" borderId="43" xfId="0" applyNumberFormat="1" applyFont="1" applyFill="1" applyBorder="1" applyAlignment="1">
      <alignment horizontal="center" vertical="center"/>
    </xf>
    <xf numFmtId="1" fontId="28" fillId="17" borderId="43" xfId="0" applyNumberFormat="1" applyFont="1" applyFill="1" applyBorder="1" applyAlignment="1">
      <alignment horizontal="center" vertical="center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76200</xdr:rowOff>
    </xdr:from>
    <xdr:ext cx="428625" cy="4191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0</xdr:row>
      <xdr:rowOff>57150</xdr:rowOff>
    </xdr:from>
    <xdr:ext cx="533400" cy="4476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F1"/>
    </sheetView>
  </sheetViews>
  <sheetFormatPr defaultColWidth="12.625" defaultRowHeight="15" customHeight="1"/>
  <cols>
    <col min="1" max="1" width="4" customWidth="1"/>
    <col min="2" max="2" width="13.125" customWidth="1"/>
    <col min="3" max="3" width="44.25" customWidth="1"/>
    <col min="4" max="4" width="9.25" customWidth="1"/>
    <col min="5" max="5" width="13" customWidth="1"/>
    <col min="6" max="6" width="11.5" customWidth="1"/>
    <col min="7" max="7" width="24" bestFit="1" customWidth="1"/>
    <col min="8" max="26" width="8.625" customWidth="1"/>
  </cols>
  <sheetData>
    <row r="1" spans="1:26" ht="13.5" customHeight="1">
      <c r="A1" s="423" t="s">
        <v>0</v>
      </c>
      <c r="B1" s="413"/>
      <c r="C1" s="413"/>
      <c r="D1" s="413"/>
      <c r="E1" s="413"/>
      <c r="F1" s="4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24" t="s">
        <v>1</v>
      </c>
      <c r="B2" s="400"/>
      <c r="C2" s="400"/>
      <c r="D2" s="400"/>
      <c r="E2" s="400"/>
      <c r="F2" s="40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425" t="s">
        <v>2</v>
      </c>
      <c r="B3" s="400"/>
      <c r="C3" s="400"/>
      <c r="D3" s="400"/>
      <c r="E3" s="400"/>
      <c r="F3" s="40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417" t="s">
        <v>3</v>
      </c>
      <c r="B4" s="403"/>
      <c r="C4" s="403"/>
      <c r="D4" s="403"/>
      <c r="E4" s="403"/>
      <c r="F4" s="40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426" t="s">
        <v>4</v>
      </c>
      <c r="B5" s="427"/>
      <c r="C5" s="427"/>
      <c r="D5" s="427"/>
      <c r="E5" s="427"/>
      <c r="F5" s="42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>
      <c r="A6" s="429"/>
      <c r="B6" s="430"/>
      <c r="C6" s="430"/>
      <c r="D6" s="430"/>
      <c r="E6" s="430"/>
      <c r="F6" s="43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>
      <c r="A7" s="419" t="s">
        <v>5</v>
      </c>
      <c r="B7" s="413"/>
      <c r="C7" s="420"/>
      <c r="D7" s="421" t="s">
        <v>6</v>
      </c>
      <c r="E7" s="413"/>
      <c r="F7" s="4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415" t="s">
        <v>7</v>
      </c>
      <c r="B8" s="400"/>
      <c r="C8" s="416"/>
      <c r="D8" s="422" t="s">
        <v>8</v>
      </c>
      <c r="E8" s="400"/>
      <c r="F8" s="40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415" t="s">
        <v>9</v>
      </c>
      <c r="B9" s="400"/>
      <c r="C9" s="416"/>
      <c r="D9" s="422" t="s">
        <v>178</v>
      </c>
      <c r="E9" s="400"/>
      <c r="F9" s="40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415" t="s">
        <v>10</v>
      </c>
      <c r="B10" s="400"/>
      <c r="C10" s="416"/>
      <c r="D10" s="417"/>
      <c r="E10" s="403"/>
      <c r="F10" s="40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418" t="s">
        <v>11</v>
      </c>
      <c r="B11" s="413"/>
      <c r="C11" s="413"/>
      <c r="D11" s="413"/>
      <c r="E11" s="413"/>
      <c r="F11" s="4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405" t="s">
        <v>12</v>
      </c>
      <c r="B12" s="403"/>
      <c r="C12" s="403"/>
      <c r="D12" s="403"/>
      <c r="E12" s="403"/>
      <c r="F12" s="40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406" t="s">
        <v>13</v>
      </c>
      <c r="B13" s="408" t="s">
        <v>14</v>
      </c>
      <c r="C13" s="409" t="s">
        <v>15</v>
      </c>
      <c r="D13" s="408" t="s">
        <v>16</v>
      </c>
      <c r="E13" s="4" t="s">
        <v>17</v>
      </c>
      <c r="F13" s="4" t="s">
        <v>18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407"/>
      <c r="B14" s="407"/>
      <c r="C14" s="407"/>
      <c r="D14" s="407"/>
      <c r="E14" s="5" t="s">
        <v>19</v>
      </c>
      <c r="F14" s="477" t="s">
        <v>19</v>
      </c>
      <c r="G14" s="483" t="s">
        <v>177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94">
        <v>1</v>
      </c>
      <c r="B15" s="304">
        <v>9000011003</v>
      </c>
      <c r="C15" s="150" t="s">
        <v>20</v>
      </c>
      <c r="D15" s="151">
        <v>16</v>
      </c>
      <c r="E15" s="395">
        <f>+'SHEET 2'!U3</f>
        <v>236.43280000000001</v>
      </c>
      <c r="F15" s="478">
        <f>+E15*D15</f>
        <v>3782.9248000000002</v>
      </c>
      <c r="G15" s="8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94">
        <v>2</v>
      </c>
      <c r="B16" s="304">
        <v>9000011103</v>
      </c>
      <c r="C16" s="150" t="s">
        <v>20</v>
      </c>
      <c r="D16" s="151">
        <v>8</v>
      </c>
      <c r="E16" s="395">
        <f>+'SHEET 2'!U4</f>
        <v>248.39920000000001</v>
      </c>
      <c r="F16" s="478">
        <f t="shared" ref="F16:F79" si="0">+E16*D16</f>
        <v>1987.1936000000001</v>
      </c>
      <c r="G16" s="8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94">
        <v>3</v>
      </c>
      <c r="B17" s="304">
        <v>9000118001</v>
      </c>
      <c r="C17" s="150" t="s">
        <v>21</v>
      </c>
      <c r="D17" s="151">
        <v>8</v>
      </c>
      <c r="E17" s="395">
        <f>+'SHEET 2'!U5</f>
        <v>392.55732421875001</v>
      </c>
      <c r="F17" s="478">
        <f t="shared" si="0"/>
        <v>3140.4585937500001</v>
      </c>
      <c r="G17" s="8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94">
        <v>4</v>
      </c>
      <c r="B18" s="304">
        <v>9000152202</v>
      </c>
      <c r="C18" s="150" t="s">
        <v>22</v>
      </c>
      <c r="D18" s="151">
        <v>1</v>
      </c>
      <c r="E18" s="395">
        <f>+'SHEET 2'!U6</f>
        <v>3783.9648000000002</v>
      </c>
      <c r="F18" s="478">
        <f t="shared" si="0"/>
        <v>3783.9648000000002</v>
      </c>
      <c r="G18" s="9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94">
        <v>5</v>
      </c>
      <c r="B19" s="304">
        <v>9000166101</v>
      </c>
      <c r="C19" s="150" t="s">
        <v>23</v>
      </c>
      <c r="D19" s="151">
        <v>1</v>
      </c>
      <c r="E19" s="395">
        <f>+'SHEET 2'!U7</f>
        <v>913.84550000000002</v>
      </c>
      <c r="F19" s="478">
        <f t="shared" si="0"/>
        <v>913.84550000000002</v>
      </c>
      <c r="G19" s="9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94">
        <v>6</v>
      </c>
      <c r="B20" s="304">
        <v>9000182703</v>
      </c>
      <c r="C20" s="150" t="s">
        <v>24</v>
      </c>
      <c r="D20" s="151">
        <v>16</v>
      </c>
      <c r="E20" s="395">
        <f>+'SHEET 2'!U8</f>
        <v>750</v>
      </c>
      <c r="F20" s="478">
        <f t="shared" si="0"/>
        <v>12000</v>
      </c>
      <c r="G20" s="9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94">
        <v>7</v>
      </c>
      <c r="B21" s="304">
        <v>9000184102</v>
      </c>
      <c r="C21" s="150" t="s">
        <v>25</v>
      </c>
      <c r="D21" s="151">
        <v>8</v>
      </c>
      <c r="E21" s="395">
        <f>+'SHEET 2'!U9</f>
        <v>927.87704800000006</v>
      </c>
      <c r="F21" s="478">
        <f t="shared" si="0"/>
        <v>7423.0163840000005</v>
      </c>
      <c r="G21" s="9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94">
        <v>8</v>
      </c>
      <c r="B22" s="304">
        <v>9000197803</v>
      </c>
      <c r="C22" s="150" t="s">
        <v>26</v>
      </c>
      <c r="D22" s="151">
        <v>8</v>
      </c>
      <c r="E22" s="395">
        <f>+'SHEET 2'!U10</f>
        <v>4251.5635156250009</v>
      </c>
      <c r="F22" s="478">
        <f t="shared" si="0"/>
        <v>34012.508125000008</v>
      </c>
      <c r="G22" s="8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94">
        <v>9</v>
      </c>
      <c r="B23" s="304">
        <v>9000229001</v>
      </c>
      <c r="C23" s="150" t="s">
        <v>27</v>
      </c>
      <c r="D23" s="151">
        <v>24</v>
      </c>
      <c r="E23" s="395">
        <f>+'SHEET 2'!U11</f>
        <v>104.3175</v>
      </c>
      <c r="F23" s="478">
        <f t="shared" si="0"/>
        <v>2503.62</v>
      </c>
      <c r="G23" s="8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94">
        <v>10</v>
      </c>
      <c r="B24" s="304">
        <v>9000234902</v>
      </c>
      <c r="C24" s="150" t="s">
        <v>28</v>
      </c>
      <c r="D24" s="151">
        <v>4</v>
      </c>
      <c r="E24" s="395">
        <f>+'SHEET 2'!U12</f>
        <v>235.263671875</v>
      </c>
      <c r="F24" s="478">
        <f t="shared" si="0"/>
        <v>941.0546875</v>
      </c>
      <c r="G24" s="8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94">
        <v>11</v>
      </c>
      <c r="B25" s="304">
        <v>9000236502</v>
      </c>
      <c r="C25" s="150" t="s">
        <v>29</v>
      </c>
      <c r="D25" s="151">
        <v>4</v>
      </c>
      <c r="E25" s="395">
        <f>+'SHEET 2'!U13</f>
        <v>0</v>
      </c>
      <c r="F25" s="478">
        <f t="shared" si="0"/>
        <v>0</v>
      </c>
      <c r="G25" s="479" t="s">
        <v>155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94">
        <v>12</v>
      </c>
      <c r="B26" s="304">
        <v>9000392401</v>
      </c>
      <c r="C26" s="150" t="s">
        <v>30</v>
      </c>
      <c r="D26" s="151">
        <v>14</v>
      </c>
      <c r="E26" s="395">
        <f>+'SHEET 2'!U14</f>
        <v>183.682734375</v>
      </c>
      <c r="F26" s="478">
        <f t="shared" si="0"/>
        <v>2571.5582812499997</v>
      </c>
      <c r="G26" s="10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94">
        <v>13</v>
      </c>
      <c r="B27" s="304">
        <v>9000392901</v>
      </c>
      <c r="C27" s="150" t="s">
        <v>31</v>
      </c>
      <c r="D27" s="151">
        <v>7</v>
      </c>
      <c r="E27" s="395">
        <f>+'SHEET 2'!U15</f>
        <v>7843.8749999999991</v>
      </c>
      <c r="F27" s="478">
        <f t="shared" si="0"/>
        <v>54907.124999999993</v>
      </c>
      <c r="G27" s="10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94">
        <v>14</v>
      </c>
      <c r="B28" s="304">
        <v>9000513803</v>
      </c>
      <c r="C28" s="150" t="s">
        <v>32</v>
      </c>
      <c r="D28" s="151">
        <v>8</v>
      </c>
      <c r="E28" s="395">
        <f>+'SHEET 2'!U16</f>
        <v>3094.7726250000001</v>
      </c>
      <c r="F28" s="478">
        <f t="shared" si="0"/>
        <v>24758.181</v>
      </c>
      <c r="G28" s="10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94">
        <v>15</v>
      </c>
      <c r="B29" s="304">
        <v>9000569303</v>
      </c>
      <c r="C29" s="150" t="s">
        <v>33</v>
      </c>
      <c r="D29" s="151">
        <v>4</v>
      </c>
      <c r="E29" s="395">
        <f>+'SHEET 2'!U17</f>
        <v>5257.6618749999998</v>
      </c>
      <c r="F29" s="478">
        <f t="shared" si="0"/>
        <v>21030.647499999999</v>
      </c>
      <c r="G29" s="10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94">
        <v>16</v>
      </c>
      <c r="B30" s="304">
        <v>9000574302</v>
      </c>
      <c r="C30" s="150" t="s">
        <v>34</v>
      </c>
      <c r="D30" s="151">
        <v>4</v>
      </c>
      <c r="E30" s="395">
        <f>+'SHEET 2'!U18</f>
        <v>477.00093750000002</v>
      </c>
      <c r="F30" s="478">
        <f t="shared" si="0"/>
        <v>1908.0037500000001</v>
      </c>
      <c r="G30" s="10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94">
        <v>17</v>
      </c>
      <c r="B31" s="304">
        <v>9000650903</v>
      </c>
      <c r="C31" s="150" t="s">
        <v>35</v>
      </c>
      <c r="D31" s="151">
        <v>4</v>
      </c>
      <c r="E31" s="395">
        <f>+'SHEET 2'!U19</f>
        <v>7745.46875</v>
      </c>
      <c r="F31" s="478">
        <f t="shared" si="0"/>
        <v>30981.875</v>
      </c>
      <c r="G31" s="1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94">
        <v>18</v>
      </c>
      <c r="B32" s="304">
        <v>9000692404</v>
      </c>
      <c r="C32" s="150" t="s">
        <v>36</v>
      </c>
      <c r="D32" s="151">
        <v>2</v>
      </c>
      <c r="E32" s="395">
        <f>+'SHEET 2'!U20</f>
        <v>641.73175000000003</v>
      </c>
      <c r="F32" s="478">
        <f t="shared" si="0"/>
        <v>1283.4635000000001</v>
      </c>
      <c r="G32" s="1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94">
        <v>19</v>
      </c>
      <c r="B33" s="304">
        <v>9000692703</v>
      </c>
      <c r="C33" s="150" t="s">
        <v>37</v>
      </c>
      <c r="D33" s="151">
        <v>6</v>
      </c>
      <c r="E33" s="395">
        <f>+'SHEET 2'!U21</f>
        <v>702.1646874999999</v>
      </c>
      <c r="F33" s="478">
        <f t="shared" si="0"/>
        <v>4212.9881249999999</v>
      </c>
      <c r="G33" s="1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394">
        <v>20</v>
      </c>
      <c r="B34" s="304">
        <v>9000700403</v>
      </c>
      <c r="C34" s="150" t="s">
        <v>38</v>
      </c>
      <c r="D34" s="151">
        <v>1</v>
      </c>
      <c r="E34" s="395">
        <f>+'SHEET 2'!U22</f>
        <v>1162.2590937499999</v>
      </c>
      <c r="F34" s="478">
        <f t="shared" si="0"/>
        <v>1162.2590937499999</v>
      </c>
      <c r="G34" s="1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94">
        <v>21</v>
      </c>
      <c r="B35" s="304">
        <v>9000722603</v>
      </c>
      <c r="C35" s="150" t="s">
        <v>39</v>
      </c>
      <c r="D35" s="151">
        <v>16</v>
      </c>
      <c r="E35" s="395">
        <f>+'SHEET 2'!U23</f>
        <v>2656.93359375</v>
      </c>
      <c r="F35" s="478">
        <f t="shared" si="0"/>
        <v>42510.9375</v>
      </c>
      <c r="G35" s="1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94">
        <v>22</v>
      </c>
      <c r="B36" s="304">
        <v>9000734304</v>
      </c>
      <c r="C36" s="150" t="s">
        <v>40</v>
      </c>
      <c r="D36" s="151">
        <v>1</v>
      </c>
      <c r="E36" s="395">
        <f>+'SHEET 2'!U24</f>
        <v>16562.5</v>
      </c>
      <c r="F36" s="478">
        <f t="shared" si="0"/>
        <v>16562.5</v>
      </c>
      <c r="G36" s="1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394">
        <v>23</v>
      </c>
      <c r="B37" s="304">
        <v>9000736504</v>
      </c>
      <c r="C37" s="150" t="s">
        <v>41</v>
      </c>
      <c r="D37" s="151">
        <v>1</v>
      </c>
      <c r="E37" s="395">
        <f>+'SHEET 2'!U25</f>
        <v>1249</v>
      </c>
      <c r="F37" s="478">
        <f t="shared" si="0"/>
        <v>1249</v>
      </c>
      <c r="G37" s="13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394">
        <v>24</v>
      </c>
      <c r="B38" s="304">
        <v>9000745006</v>
      </c>
      <c r="C38" s="150" t="s">
        <v>42</v>
      </c>
      <c r="D38" s="151">
        <v>2</v>
      </c>
      <c r="E38" s="395">
        <f>+'SHEET 2'!U26</f>
        <v>250</v>
      </c>
      <c r="F38" s="478">
        <f t="shared" si="0"/>
        <v>500</v>
      </c>
      <c r="G38" s="13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94">
        <v>25</v>
      </c>
      <c r="B39" s="304">
        <v>9000745203</v>
      </c>
      <c r="C39" s="150" t="s">
        <v>43</v>
      </c>
      <c r="D39" s="151">
        <v>10</v>
      </c>
      <c r="E39" s="395">
        <f>+'SHEET 2'!U27</f>
        <v>8071.8312500000002</v>
      </c>
      <c r="F39" s="478">
        <f t="shared" si="0"/>
        <v>80718.3125</v>
      </c>
      <c r="G39" s="1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394">
        <v>26</v>
      </c>
      <c r="B40" s="304">
        <v>9000746303</v>
      </c>
      <c r="C40" s="150" t="s">
        <v>44</v>
      </c>
      <c r="D40" s="151">
        <v>1</v>
      </c>
      <c r="E40" s="395">
        <f>+'SHEET 2'!U28</f>
        <v>4000</v>
      </c>
      <c r="F40" s="478">
        <f t="shared" si="0"/>
        <v>4000</v>
      </c>
      <c r="G40" s="14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94">
        <v>27</v>
      </c>
      <c r="B41" s="304">
        <v>9000780902</v>
      </c>
      <c r="C41" s="150" t="s">
        <v>45</v>
      </c>
      <c r="D41" s="151">
        <v>5</v>
      </c>
      <c r="E41" s="395">
        <f>+'SHEET 2'!U29</f>
        <v>1082.3636624999999</v>
      </c>
      <c r="F41" s="478">
        <f t="shared" si="0"/>
        <v>5411.8183124999996</v>
      </c>
      <c r="G41" s="14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394">
        <v>28</v>
      </c>
      <c r="B42" s="304">
        <v>9001245102</v>
      </c>
      <c r="C42" s="150" t="s">
        <v>46</v>
      </c>
      <c r="D42" s="151">
        <v>3</v>
      </c>
      <c r="E42" s="395">
        <f>+'SHEET 2'!U30</f>
        <v>1360.9</v>
      </c>
      <c r="F42" s="478">
        <f t="shared" si="0"/>
        <v>4082.7000000000003</v>
      </c>
      <c r="G42" s="14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394">
        <v>29</v>
      </c>
      <c r="B43" s="304">
        <v>9001284403</v>
      </c>
      <c r="C43" s="150" t="s">
        <v>47</v>
      </c>
      <c r="D43" s="151">
        <v>4</v>
      </c>
      <c r="E43" s="395">
        <f>+'SHEET 2'!U31</f>
        <v>5770.466796875</v>
      </c>
      <c r="F43" s="478">
        <f t="shared" si="0"/>
        <v>23081.8671875</v>
      </c>
      <c r="G43" s="14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394">
        <v>30</v>
      </c>
      <c r="B44" s="304">
        <v>9001293301</v>
      </c>
      <c r="C44" s="150" t="s">
        <v>48</v>
      </c>
      <c r="D44" s="151">
        <v>8</v>
      </c>
      <c r="E44" s="395">
        <f>+'SHEET 2'!U32</f>
        <v>356.70477625000001</v>
      </c>
      <c r="F44" s="478">
        <f t="shared" si="0"/>
        <v>2853.6382100000001</v>
      </c>
      <c r="G44" s="1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94">
        <v>31</v>
      </c>
      <c r="B45" s="304">
        <v>9001300304</v>
      </c>
      <c r="C45" s="150" t="s">
        <v>49</v>
      </c>
      <c r="D45" s="151">
        <v>1</v>
      </c>
      <c r="E45" s="395">
        <f>+'SHEET 2'!U33</f>
        <v>3929.125</v>
      </c>
      <c r="F45" s="478">
        <f t="shared" si="0"/>
        <v>3929.125</v>
      </c>
      <c r="G45" s="10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94">
        <v>32</v>
      </c>
      <c r="B46" s="304">
        <v>9001301502</v>
      </c>
      <c r="C46" s="150" t="s">
        <v>50</v>
      </c>
      <c r="D46" s="151">
        <v>2</v>
      </c>
      <c r="E46" s="395">
        <f>+'SHEET 2'!U34</f>
        <v>283.41000000000003</v>
      </c>
      <c r="F46" s="478">
        <f t="shared" si="0"/>
        <v>566.82000000000005</v>
      </c>
      <c r="G46" s="1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394">
        <v>33</v>
      </c>
      <c r="B47" s="304">
        <v>9001301702</v>
      </c>
      <c r="C47" s="150" t="s">
        <v>51</v>
      </c>
      <c r="D47" s="151">
        <v>4</v>
      </c>
      <c r="E47" s="395">
        <f>+'SHEET 2'!U35</f>
        <v>0</v>
      </c>
      <c r="F47" s="478">
        <f t="shared" si="0"/>
        <v>0</v>
      </c>
      <c r="G47" s="480" t="s">
        <v>164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94">
        <v>34</v>
      </c>
      <c r="B48" s="304">
        <v>9001309502</v>
      </c>
      <c r="C48" s="150" t="s">
        <v>52</v>
      </c>
      <c r="D48" s="151">
        <v>64</v>
      </c>
      <c r="E48" s="395">
        <f>+'SHEET 2'!U36</f>
        <v>514.28</v>
      </c>
      <c r="F48" s="478">
        <f t="shared" si="0"/>
        <v>32913.919999999998</v>
      </c>
      <c r="G48" s="1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94">
        <v>35</v>
      </c>
      <c r="B49" s="304">
        <v>9001312101</v>
      </c>
      <c r="C49" s="150" t="s">
        <v>53</v>
      </c>
      <c r="D49" s="151">
        <v>7</v>
      </c>
      <c r="E49" s="395">
        <f>+'SHEET 2'!U37</f>
        <v>6072.559953125</v>
      </c>
      <c r="F49" s="478">
        <f t="shared" si="0"/>
        <v>42507.919671875003</v>
      </c>
      <c r="G49" s="1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94">
        <v>36</v>
      </c>
      <c r="B50" s="304">
        <v>9001312202</v>
      </c>
      <c r="C50" s="150" t="s">
        <v>54</v>
      </c>
      <c r="D50" s="151">
        <v>7</v>
      </c>
      <c r="E50" s="395">
        <f>+'SHEET 2'!U38</f>
        <v>932.60100000000011</v>
      </c>
      <c r="F50" s="478">
        <f t="shared" si="0"/>
        <v>6528.2070000000003</v>
      </c>
      <c r="G50" s="1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94">
        <v>37</v>
      </c>
      <c r="B51" s="304">
        <v>9001312302</v>
      </c>
      <c r="C51" s="150" t="s">
        <v>55</v>
      </c>
      <c r="D51" s="151">
        <v>7</v>
      </c>
      <c r="E51" s="395">
        <f>+'SHEET 2'!U39</f>
        <v>1340.924</v>
      </c>
      <c r="F51" s="478">
        <f t="shared" si="0"/>
        <v>9386.4680000000008</v>
      </c>
      <c r="G51" s="1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94">
        <v>38</v>
      </c>
      <c r="B52" s="304">
        <v>9001312402</v>
      </c>
      <c r="C52" s="150" t="s">
        <v>56</v>
      </c>
      <c r="D52" s="151">
        <v>14</v>
      </c>
      <c r="E52" s="395">
        <f>+'SHEET 2'!U40</f>
        <v>1345.6200781250002</v>
      </c>
      <c r="F52" s="478">
        <f t="shared" si="0"/>
        <v>18838.681093750001</v>
      </c>
      <c r="G52" s="1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94">
        <v>39</v>
      </c>
      <c r="B53" s="304">
        <v>9001312501</v>
      </c>
      <c r="C53" s="150" t="s">
        <v>57</v>
      </c>
      <c r="D53" s="151">
        <v>7</v>
      </c>
      <c r="E53" s="395">
        <f>+'SHEET 2'!U41</f>
        <v>468.34539062499999</v>
      </c>
      <c r="F53" s="478">
        <f t="shared" si="0"/>
        <v>3278.4177343749998</v>
      </c>
      <c r="G53" s="1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94">
        <v>40</v>
      </c>
      <c r="B54" s="304">
        <v>9001312603</v>
      </c>
      <c r="C54" s="150" t="s">
        <v>58</v>
      </c>
      <c r="D54" s="151">
        <v>7</v>
      </c>
      <c r="E54" s="395">
        <f>+'SHEET 2'!U42</f>
        <v>1184.0125</v>
      </c>
      <c r="F54" s="478">
        <f t="shared" si="0"/>
        <v>8288.0874999999996</v>
      </c>
      <c r="G54" s="1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94">
        <v>41</v>
      </c>
      <c r="B55" s="304">
        <v>9001312702</v>
      </c>
      <c r="C55" s="150" t="s">
        <v>59</v>
      </c>
      <c r="D55" s="151">
        <v>60</v>
      </c>
      <c r="E55" s="395">
        <f>+'SHEET 2'!U43</f>
        <v>0</v>
      </c>
      <c r="F55" s="478">
        <f t="shared" si="0"/>
        <v>0</v>
      </c>
      <c r="G55" s="481" t="s">
        <v>164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94">
        <v>42</v>
      </c>
      <c r="B56" s="304">
        <v>9001317602</v>
      </c>
      <c r="C56" s="150" t="s">
        <v>60</v>
      </c>
      <c r="D56" s="151">
        <v>2</v>
      </c>
      <c r="E56" s="395">
        <f>+'SHEET 2'!U44</f>
        <v>4000</v>
      </c>
      <c r="F56" s="478">
        <f t="shared" si="0"/>
        <v>8000</v>
      </c>
      <c r="G56" s="1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394">
        <v>43</v>
      </c>
      <c r="B57" s="304">
        <v>9001317702</v>
      </c>
      <c r="C57" s="150" t="s">
        <v>61</v>
      </c>
      <c r="D57" s="151">
        <v>2</v>
      </c>
      <c r="E57" s="395">
        <f>+'SHEET 2'!U45</f>
        <v>788.69007812500001</v>
      </c>
      <c r="F57" s="478">
        <f t="shared" si="0"/>
        <v>1577.38015625</v>
      </c>
      <c r="G57" s="1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394">
        <v>44</v>
      </c>
      <c r="B58" s="304">
        <v>9001690802</v>
      </c>
      <c r="C58" s="150" t="s">
        <v>62</v>
      </c>
      <c r="D58" s="151">
        <v>1</v>
      </c>
      <c r="E58" s="395">
        <f>+'SHEET 2'!U46</f>
        <v>0</v>
      </c>
      <c r="F58" s="478">
        <f t="shared" si="0"/>
        <v>0</v>
      </c>
      <c r="G58" s="482" t="s">
        <v>167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394">
        <v>45</v>
      </c>
      <c r="B59" s="304">
        <v>9001694802</v>
      </c>
      <c r="C59" s="150" t="s">
        <v>63</v>
      </c>
      <c r="D59" s="151">
        <v>1</v>
      </c>
      <c r="E59" s="395">
        <f>+'SHEET 2'!U47</f>
        <v>3918.0901515625001</v>
      </c>
      <c r="F59" s="478">
        <f t="shared" si="0"/>
        <v>3918.0901515625001</v>
      </c>
      <c r="G59" s="1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394">
        <v>46</v>
      </c>
      <c r="B60" s="304">
        <v>9001721601</v>
      </c>
      <c r="C60" s="150" t="s">
        <v>64</v>
      </c>
      <c r="D60" s="151">
        <v>1</v>
      </c>
      <c r="E60" s="395">
        <f>+'SHEET 2'!U48</f>
        <v>890.81367187499995</v>
      </c>
      <c r="F60" s="478">
        <f t="shared" si="0"/>
        <v>890.81367187499995</v>
      </c>
      <c r="G60" s="1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394">
        <v>47</v>
      </c>
      <c r="B61" s="304">
        <v>9001722001</v>
      </c>
      <c r="C61" s="150" t="s">
        <v>65</v>
      </c>
      <c r="D61" s="151">
        <v>1</v>
      </c>
      <c r="E61" s="395">
        <f>+'SHEET 2'!U49</f>
        <v>1067.1139843750002</v>
      </c>
      <c r="F61" s="478">
        <f t="shared" si="0"/>
        <v>1067.1139843750002</v>
      </c>
      <c r="G61" s="1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394">
        <v>48</v>
      </c>
      <c r="B62" s="304">
        <v>9001781201</v>
      </c>
      <c r="C62" s="150" t="s">
        <v>66</v>
      </c>
      <c r="D62" s="151">
        <v>16</v>
      </c>
      <c r="E62" s="395">
        <f>+'SHEET 2'!U50</f>
        <v>855</v>
      </c>
      <c r="F62" s="478">
        <f t="shared" si="0"/>
        <v>13680</v>
      </c>
      <c r="G62" s="48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394">
        <v>49</v>
      </c>
      <c r="B63" s="304">
        <v>9001783601</v>
      </c>
      <c r="C63" s="150" t="s">
        <v>67</v>
      </c>
      <c r="D63" s="151">
        <v>1</v>
      </c>
      <c r="E63" s="395">
        <f>+'SHEET 2'!U51</f>
        <v>570.11562499999991</v>
      </c>
      <c r="F63" s="478">
        <f t="shared" si="0"/>
        <v>570.11562499999991</v>
      </c>
      <c r="G63" s="1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394">
        <v>50</v>
      </c>
      <c r="B64" s="304">
        <v>9001783701</v>
      </c>
      <c r="C64" s="150" t="s">
        <v>68</v>
      </c>
      <c r="D64" s="151">
        <v>2</v>
      </c>
      <c r="E64" s="395">
        <f>+'SHEET 2'!U52</f>
        <v>100</v>
      </c>
      <c r="F64" s="478">
        <f t="shared" si="0"/>
        <v>200</v>
      </c>
      <c r="G64" s="1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394">
        <v>51</v>
      </c>
      <c r="B65" s="304">
        <v>9001783801</v>
      </c>
      <c r="C65" s="150" t="s">
        <v>69</v>
      </c>
      <c r="D65" s="151">
        <v>1</v>
      </c>
      <c r="E65" s="395">
        <f>+'SHEET 2'!U53</f>
        <v>20416.948437499999</v>
      </c>
      <c r="F65" s="478">
        <f t="shared" si="0"/>
        <v>20416.948437499999</v>
      </c>
      <c r="G65" s="1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394">
        <v>52</v>
      </c>
      <c r="B66" s="304">
        <v>9001783901</v>
      </c>
      <c r="C66" s="150" t="s">
        <v>70</v>
      </c>
      <c r="D66" s="151">
        <v>1</v>
      </c>
      <c r="E66" s="395">
        <f>+'SHEET 2'!U54</f>
        <v>1302.7053125</v>
      </c>
      <c r="F66" s="478">
        <f t="shared" si="0"/>
        <v>1302.7053125</v>
      </c>
      <c r="G66" s="1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394">
        <v>53</v>
      </c>
      <c r="B67" s="304">
        <v>9001794101</v>
      </c>
      <c r="C67" s="150" t="s">
        <v>71</v>
      </c>
      <c r="D67" s="151">
        <v>1</v>
      </c>
      <c r="E67" s="395">
        <f>+'SHEET 2'!U55</f>
        <v>564.11487499999998</v>
      </c>
      <c r="F67" s="478">
        <f t="shared" si="0"/>
        <v>564.11487499999998</v>
      </c>
      <c r="G67" s="1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394">
        <v>54</v>
      </c>
      <c r="B68" s="304">
        <v>9001795601</v>
      </c>
      <c r="C68" s="150" t="s">
        <v>72</v>
      </c>
      <c r="D68" s="151">
        <v>1</v>
      </c>
      <c r="E68" s="395">
        <f>+'SHEET 2'!U56</f>
        <v>394.42875000000004</v>
      </c>
      <c r="F68" s="478">
        <f t="shared" si="0"/>
        <v>394.42875000000004</v>
      </c>
      <c r="G68" s="1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394">
        <v>55</v>
      </c>
      <c r="B69" s="304">
        <v>9001797301</v>
      </c>
      <c r="C69" s="150" t="s">
        <v>73</v>
      </c>
      <c r="D69" s="151">
        <v>2</v>
      </c>
      <c r="E69" s="395">
        <f>+'SHEET 2'!U57</f>
        <v>443.81015625000003</v>
      </c>
      <c r="F69" s="478">
        <f t="shared" si="0"/>
        <v>887.62031250000007</v>
      </c>
      <c r="G69" s="1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394">
        <v>56</v>
      </c>
      <c r="B70" s="304">
        <v>9001798901</v>
      </c>
      <c r="C70" s="150" t="s">
        <v>74</v>
      </c>
      <c r="D70" s="151">
        <v>1</v>
      </c>
      <c r="E70" s="395">
        <f>+'SHEET 2'!U58</f>
        <v>534.64374999999995</v>
      </c>
      <c r="F70" s="478">
        <f t="shared" si="0"/>
        <v>534.64374999999995</v>
      </c>
      <c r="G70" s="1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394">
        <v>57</v>
      </c>
      <c r="B71" s="304">
        <v>9001800101</v>
      </c>
      <c r="C71" s="150" t="s">
        <v>75</v>
      </c>
      <c r="D71" s="151">
        <v>2</v>
      </c>
      <c r="E71" s="395">
        <f>+'SHEET 2'!U59</f>
        <v>386.34999999999997</v>
      </c>
      <c r="F71" s="478">
        <f t="shared" si="0"/>
        <v>772.69999999999993</v>
      </c>
      <c r="G71" s="1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394">
        <v>58</v>
      </c>
      <c r="B72" s="304">
        <v>9001801101</v>
      </c>
      <c r="C72" s="150" t="s">
        <v>76</v>
      </c>
      <c r="D72" s="151">
        <v>2</v>
      </c>
      <c r="E72" s="395">
        <f>+'SHEET 2'!U60</f>
        <v>507.58598632812499</v>
      </c>
      <c r="F72" s="478">
        <f t="shared" si="0"/>
        <v>1015.17197265625</v>
      </c>
      <c r="G72" s="1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394">
        <v>59</v>
      </c>
      <c r="B73" s="304">
        <v>9001801901</v>
      </c>
      <c r="C73" s="150" t="s">
        <v>77</v>
      </c>
      <c r="D73" s="151">
        <v>2</v>
      </c>
      <c r="E73" s="395">
        <f>+'SHEET 2'!U61</f>
        <v>423.40976562500003</v>
      </c>
      <c r="F73" s="478">
        <f t="shared" si="0"/>
        <v>846.81953125000007</v>
      </c>
      <c r="G73" s="1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394">
        <v>60</v>
      </c>
      <c r="B74" s="304">
        <v>9001802001</v>
      </c>
      <c r="C74" s="150" t="s">
        <v>78</v>
      </c>
      <c r="D74" s="151">
        <v>6</v>
      </c>
      <c r="E74" s="395">
        <f>+'SHEET 2'!U62</f>
        <v>276.40351450000003</v>
      </c>
      <c r="F74" s="478">
        <f t="shared" si="0"/>
        <v>1658.4210870000002</v>
      </c>
      <c r="G74" s="1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394">
        <v>61</v>
      </c>
      <c r="B75" s="304">
        <v>9001802701</v>
      </c>
      <c r="C75" s="150" t="s">
        <v>79</v>
      </c>
      <c r="D75" s="151">
        <v>8</v>
      </c>
      <c r="E75" s="395">
        <f>+'SHEET 2'!U63</f>
        <v>442.70624999999995</v>
      </c>
      <c r="F75" s="478">
        <f t="shared" si="0"/>
        <v>3541.6499999999996</v>
      </c>
      <c r="G75" s="1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394">
        <v>62</v>
      </c>
      <c r="B76" s="304">
        <v>9001806501</v>
      </c>
      <c r="C76" s="150" t="s">
        <v>80</v>
      </c>
      <c r="D76" s="151">
        <v>4</v>
      </c>
      <c r="E76" s="395">
        <f>+'SHEET 2'!U64</f>
        <v>347.53287499999999</v>
      </c>
      <c r="F76" s="478">
        <f t="shared" si="0"/>
        <v>1390.1315</v>
      </c>
      <c r="G76" s="1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394">
        <v>63</v>
      </c>
      <c r="B77" s="304">
        <v>9001808401</v>
      </c>
      <c r="C77" s="150" t="s">
        <v>81</v>
      </c>
      <c r="D77" s="151">
        <v>1</v>
      </c>
      <c r="E77" s="395">
        <f>+'SHEET 2'!U65</f>
        <v>106.18187499999999</v>
      </c>
      <c r="F77" s="478">
        <f t="shared" si="0"/>
        <v>106.18187499999999</v>
      </c>
      <c r="G77" s="1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394">
        <v>64</v>
      </c>
      <c r="B78" s="304">
        <v>9001809301</v>
      </c>
      <c r="C78" s="150" t="s">
        <v>82</v>
      </c>
      <c r="D78" s="151">
        <v>2</v>
      </c>
      <c r="E78" s="395">
        <f>+'SHEET 2'!U66</f>
        <v>437.98193750000002</v>
      </c>
      <c r="F78" s="478">
        <f t="shared" si="0"/>
        <v>875.96387500000003</v>
      </c>
      <c r="G78" s="14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394">
        <v>65</v>
      </c>
      <c r="B79" s="304">
        <v>9001809501</v>
      </c>
      <c r="C79" s="150" t="s">
        <v>83</v>
      </c>
      <c r="D79" s="151">
        <v>2</v>
      </c>
      <c r="E79" s="395">
        <f>+'SHEET 2'!U67</f>
        <v>226.49374999999998</v>
      </c>
      <c r="F79" s="478">
        <f t="shared" si="0"/>
        <v>452.98749999999995</v>
      </c>
      <c r="G79" s="1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394">
        <v>66</v>
      </c>
      <c r="B80" s="304">
        <v>9001811001</v>
      </c>
      <c r="C80" s="150" t="s">
        <v>84</v>
      </c>
      <c r="D80" s="151">
        <v>6</v>
      </c>
      <c r="E80" s="395">
        <f>+'SHEET 2'!U68</f>
        <v>274.32820312499996</v>
      </c>
      <c r="F80" s="478">
        <f t="shared" ref="F80:F117" si="1">+E80*D80</f>
        <v>1645.9692187499998</v>
      </c>
      <c r="G80" s="1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394">
        <v>67</v>
      </c>
      <c r="B81" s="304">
        <v>9001813201</v>
      </c>
      <c r="C81" s="150" t="s">
        <v>85</v>
      </c>
      <c r="D81" s="151">
        <v>6</v>
      </c>
      <c r="E81" s="395">
        <f>+'SHEET 2'!U69</f>
        <v>0</v>
      </c>
      <c r="F81" s="478">
        <f t="shared" si="1"/>
        <v>0</v>
      </c>
      <c r="G81" s="481" t="s">
        <v>169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394">
        <v>68</v>
      </c>
      <c r="B82" s="304">
        <v>9001816401</v>
      </c>
      <c r="C82" s="150" t="s">
        <v>86</v>
      </c>
      <c r="D82" s="151">
        <v>2</v>
      </c>
      <c r="E82" s="395">
        <f>+'SHEET 2'!U70</f>
        <v>1116.27</v>
      </c>
      <c r="F82" s="478">
        <f t="shared" si="1"/>
        <v>2232.54</v>
      </c>
      <c r="G82" s="1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394">
        <v>69</v>
      </c>
      <c r="B83" s="304">
        <v>9001816501</v>
      </c>
      <c r="C83" s="150" t="s">
        <v>87</v>
      </c>
      <c r="D83" s="151">
        <v>4</v>
      </c>
      <c r="E83" s="395">
        <f>+'SHEET 2'!U71</f>
        <v>1502.6590000000001</v>
      </c>
      <c r="F83" s="478">
        <f t="shared" si="1"/>
        <v>6010.6360000000004</v>
      </c>
      <c r="G83" s="1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394">
        <v>70</v>
      </c>
      <c r="B84" s="304">
        <v>9001816601</v>
      </c>
      <c r="C84" s="150" t="s">
        <v>88</v>
      </c>
      <c r="D84" s="151">
        <v>8</v>
      </c>
      <c r="E84" s="395">
        <f>+'SHEET 2'!U72</f>
        <v>174.92999999999998</v>
      </c>
      <c r="F84" s="478">
        <f t="shared" si="1"/>
        <v>1399.4399999999998</v>
      </c>
      <c r="G84" s="1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394">
        <v>71</v>
      </c>
      <c r="B85" s="304">
        <v>9001816701</v>
      </c>
      <c r="C85" s="150" t="s">
        <v>88</v>
      </c>
      <c r="D85" s="151">
        <v>8</v>
      </c>
      <c r="E85" s="395">
        <f>+'SHEET 2'!U73</f>
        <v>231.1275</v>
      </c>
      <c r="F85" s="478">
        <f t="shared" si="1"/>
        <v>1849.02</v>
      </c>
      <c r="G85" s="1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394">
        <v>72</v>
      </c>
      <c r="B86" s="304">
        <v>9001816901</v>
      </c>
      <c r="C86" s="150" t="s">
        <v>89</v>
      </c>
      <c r="D86" s="151">
        <v>2</v>
      </c>
      <c r="E86" s="395">
        <f>+'SHEET 2'!U74</f>
        <v>1116.27</v>
      </c>
      <c r="F86" s="478">
        <f t="shared" si="1"/>
        <v>2232.54</v>
      </c>
      <c r="G86" s="1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394">
        <v>73</v>
      </c>
      <c r="B87" s="304">
        <v>9001817201</v>
      </c>
      <c r="C87" s="150" t="s">
        <v>90</v>
      </c>
      <c r="D87" s="151">
        <v>24</v>
      </c>
      <c r="E87" s="395">
        <f>+'SHEET 2'!U75</f>
        <v>207.41825</v>
      </c>
      <c r="F87" s="478">
        <f t="shared" si="1"/>
        <v>4978.0380000000005</v>
      </c>
      <c r="G87" s="1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394">
        <v>74</v>
      </c>
      <c r="B88" s="304">
        <v>9001823901</v>
      </c>
      <c r="C88" s="150" t="s">
        <v>91</v>
      </c>
      <c r="D88" s="151">
        <v>24</v>
      </c>
      <c r="E88" s="395">
        <f>+'SHEET 2'!U76</f>
        <v>165.19325000000003</v>
      </c>
      <c r="F88" s="478">
        <f t="shared" si="1"/>
        <v>3964.6380000000008</v>
      </c>
      <c r="G88" s="14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394">
        <v>75</v>
      </c>
      <c r="B89" s="304">
        <v>9001827001</v>
      </c>
      <c r="C89" s="150" t="s">
        <v>92</v>
      </c>
      <c r="D89" s="151">
        <v>88</v>
      </c>
      <c r="E89" s="395">
        <f>+'SHEET 2'!U77</f>
        <v>101.638575</v>
      </c>
      <c r="F89" s="478">
        <f t="shared" si="1"/>
        <v>8944.1946000000007</v>
      </c>
      <c r="G89" s="12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394">
        <v>76</v>
      </c>
      <c r="B90" s="304">
        <v>9001827701</v>
      </c>
      <c r="C90" s="150" t="s">
        <v>93</v>
      </c>
      <c r="D90" s="151">
        <v>36</v>
      </c>
      <c r="E90" s="395">
        <f>+'SHEET 2'!U78</f>
        <v>101.638575</v>
      </c>
      <c r="F90" s="478">
        <f t="shared" si="1"/>
        <v>3658.9886999999999</v>
      </c>
      <c r="G90" s="12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394">
        <v>77</v>
      </c>
      <c r="B91" s="304">
        <v>9001832601</v>
      </c>
      <c r="C91" s="150" t="s">
        <v>94</v>
      </c>
      <c r="D91" s="151">
        <v>1</v>
      </c>
      <c r="E91" s="395">
        <f>+'SHEET 2'!U79</f>
        <v>6664.1287499999999</v>
      </c>
      <c r="F91" s="478">
        <f t="shared" si="1"/>
        <v>6664.1287499999999</v>
      </c>
      <c r="G91" s="12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394">
        <v>78</v>
      </c>
      <c r="B92" s="304">
        <v>9001835301</v>
      </c>
      <c r="C92" s="150" t="s">
        <v>95</v>
      </c>
      <c r="D92" s="151">
        <v>1</v>
      </c>
      <c r="E92" s="395">
        <f>+'SHEET 2'!U80</f>
        <v>19629</v>
      </c>
      <c r="F92" s="478">
        <f t="shared" si="1"/>
        <v>19629</v>
      </c>
      <c r="G92" s="48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394">
        <v>79</v>
      </c>
      <c r="B93" s="304">
        <v>9001837501</v>
      </c>
      <c r="C93" s="150" t="s">
        <v>96</v>
      </c>
      <c r="D93" s="151">
        <v>4</v>
      </c>
      <c r="E93" s="395">
        <f>+'SHEET 2'!U81</f>
        <v>1284.412</v>
      </c>
      <c r="F93" s="478">
        <f t="shared" si="1"/>
        <v>5137.6480000000001</v>
      </c>
      <c r="G93" s="1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394">
        <v>80</v>
      </c>
      <c r="B94" s="304">
        <v>9001842201</v>
      </c>
      <c r="C94" s="150" t="s">
        <v>97</v>
      </c>
      <c r="D94" s="151">
        <v>18</v>
      </c>
      <c r="E94" s="395">
        <f>+'SHEET 2'!U82</f>
        <v>65.516249999999999</v>
      </c>
      <c r="F94" s="478">
        <f t="shared" si="1"/>
        <v>1179.2925</v>
      </c>
      <c r="G94" s="1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394">
        <v>81</v>
      </c>
      <c r="B95" s="304">
        <v>9001844301</v>
      </c>
      <c r="C95" s="150" t="s">
        <v>98</v>
      </c>
      <c r="D95" s="151">
        <v>3</v>
      </c>
      <c r="E95" s="395">
        <f>+'SHEET 2'!U83</f>
        <v>0</v>
      </c>
      <c r="F95" s="478">
        <f t="shared" si="1"/>
        <v>0</v>
      </c>
      <c r="G95" s="482" t="s">
        <v>169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394">
        <v>82</v>
      </c>
      <c r="B96" s="304">
        <v>9001846901</v>
      </c>
      <c r="C96" s="150" t="s">
        <v>99</v>
      </c>
      <c r="D96" s="151">
        <v>3</v>
      </c>
      <c r="E96" s="395">
        <f>+'SHEET 2'!U84</f>
        <v>1991.25</v>
      </c>
      <c r="F96" s="478">
        <f t="shared" si="1"/>
        <v>5973.75</v>
      </c>
      <c r="G96" s="14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394">
        <v>83</v>
      </c>
      <c r="B97" s="304">
        <v>9001852401</v>
      </c>
      <c r="C97" s="150" t="s">
        <v>100</v>
      </c>
      <c r="D97" s="151">
        <v>2</v>
      </c>
      <c r="E97" s="395">
        <f>+'SHEET 2'!U85</f>
        <v>1121.7</v>
      </c>
      <c r="F97" s="478">
        <f t="shared" si="1"/>
        <v>2243.4</v>
      </c>
      <c r="G97" s="1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394">
        <v>84</v>
      </c>
      <c r="B98" s="304">
        <v>9001852901</v>
      </c>
      <c r="C98" s="150" t="s">
        <v>101</v>
      </c>
      <c r="D98" s="151">
        <v>2</v>
      </c>
      <c r="E98" s="395">
        <f>+'SHEET 2'!U86</f>
        <v>2897.75</v>
      </c>
      <c r="F98" s="478">
        <f t="shared" si="1"/>
        <v>5795.5</v>
      </c>
      <c r="G98" s="1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394">
        <v>85</v>
      </c>
      <c r="B99" s="304">
        <v>9001853001</v>
      </c>
      <c r="C99" s="150" t="s">
        <v>102</v>
      </c>
      <c r="D99" s="151">
        <v>8</v>
      </c>
      <c r="E99" s="395">
        <f>+'SHEET 2'!U87</f>
        <v>4878</v>
      </c>
      <c r="F99" s="478">
        <f t="shared" si="1"/>
        <v>39024</v>
      </c>
      <c r="G99" s="48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394">
        <v>86</v>
      </c>
      <c r="B100" s="304">
        <v>9001853201</v>
      </c>
      <c r="C100" s="150" t="s">
        <v>103</v>
      </c>
      <c r="D100" s="151">
        <v>1</v>
      </c>
      <c r="E100" s="395">
        <f>+'SHEET 2'!U88</f>
        <v>1683.4974999999999</v>
      </c>
      <c r="F100" s="478">
        <f t="shared" si="1"/>
        <v>1683.4974999999999</v>
      </c>
      <c r="G100" s="15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394">
        <v>87</v>
      </c>
      <c r="B101" s="304">
        <v>9001854801</v>
      </c>
      <c r="C101" s="150" t="s">
        <v>104</v>
      </c>
      <c r="D101" s="151">
        <v>2</v>
      </c>
      <c r="E101" s="395">
        <f>+'SHEET 2'!U89</f>
        <v>607.76149999999996</v>
      </c>
      <c r="F101" s="478">
        <f t="shared" si="1"/>
        <v>1215.5229999999999</v>
      </c>
      <c r="G101" s="1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394">
        <v>88</v>
      </c>
      <c r="B102" s="304">
        <v>9001855001</v>
      </c>
      <c r="C102" s="150" t="s">
        <v>105</v>
      </c>
      <c r="D102" s="151">
        <v>6</v>
      </c>
      <c r="E102" s="395">
        <f>+'SHEET 2'!U90</f>
        <v>696.74296874999993</v>
      </c>
      <c r="F102" s="478">
        <f t="shared" si="1"/>
        <v>4180.4578124999998</v>
      </c>
      <c r="G102" s="1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394">
        <v>89</v>
      </c>
      <c r="B103" s="304">
        <v>9001855301</v>
      </c>
      <c r="C103" s="150" t="s">
        <v>106</v>
      </c>
      <c r="D103" s="151">
        <v>6</v>
      </c>
      <c r="E103" s="395">
        <f>+'SHEET 2'!U91</f>
        <v>297.02004999999997</v>
      </c>
      <c r="F103" s="478">
        <f t="shared" si="1"/>
        <v>1782.1202999999998</v>
      </c>
      <c r="G103" s="1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394">
        <v>90</v>
      </c>
      <c r="B104" s="304">
        <v>9001856401</v>
      </c>
      <c r="C104" s="150" t="s">
        <v>107</v>
      </c>
      <c r="D104" s="151">
        <v>6</v>
      </c>
      <c r="E104" s="395">
        <f>+'SHEET 2'!U92</f>
        <v>297.02004999999997</v>
      </c>
      <c r="F104" s="478">
        <f t="shared" si="1"/>
        <v>1782.1202999999998</v>
      </c>
      <c r="G104" s="14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394">
        <v>91</v>
      </c>
      <c r="B105" s="304">
        <v>9001856501</v>
      </c>
      <c r="C105" s="150" t="s">
        <v>108</v>
      </c>
      <c r="D105" s="151">
        <v>6</v>
      </c>
      <c r="E105" s="395">
        <f>+'SHEET 2'!U93</f>
        <v>920</v>
      </c>
      <c r="F105" s="478">
        <f t="shared" si="1"/>
        <v>5520</v>
      </c>
      <c r="G105" s="48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394">
        <v>92</v>
      </c>
      <c r="B106" s="304">
        <v>9001856601</v>
      </c>
      <c r="C106" s="150" t="s">
        <v>109</v>
      </c>
      <c r="D106" s="151">
        <v>5</v>
      </c>
      <c r="E106" s="395">
        <f>+'SHEET 2'!U94</f>
        <v>1257.796875</v>
      </c>
      <c r="F106" s="478">
        <f t="shared" si="1"/>
        <v>6288.984375</v>
      </c>
      <c r="G106" s="12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394">
        <v>93</v>
      </c>
      <c r="B107" s="304">
        <v>9001856701</v>
      </c>
      <c r="C107" s="150" t="s">
        <v>110</v>
      </c>
      <c r="D107" s="151">
        <v>2</v>
      </c>
      <c r="E107" s="395">
        <f>+'SHEET 2'!U95</f>
        <v>7358</v>
      </c>
      <c r="F107" s="478">
        <f t="shared" si="1"/>
        <v>14716</v>
      </c>
      <c r="G107" s="48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394">
        <v>94</v>
      </c>
      <c r="B108" s="304">
        <v>9001857501</v>
      </c>
      <c r="C108" s="150" t="s">
        <v>111</v>
      </c>
      <c r="D108" s="151">
        <v>4</v>
      </c>
      <c r="E108" s="395">
        <f>+'SHEET 2'!U96</f>
        <v>1126</v>
      </c>
      <c r="F108" s="478">
        <f t="shared" si="1"/>
        <v>4504</v>
      </c>
      <c r="G108" s="48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394">
        <v>95</v>
      </c>
      <c r="B109" s="304">
        <v>9001857601</v>
      </c>
      <c r="C109" s="150" t="s">
        <v>112</v>
      </c>
      <c r="D109" s="151">
        <v>8</v>
      </c>
      <c r="E109" s="395">
        <f>+'SHEET 2'!U97</f>
        <v>407</v>
      </c>
      <c r="F109" s="478">
        <f t="shared" si="1"/>
        <v>3256</v>
      </c>
      <c r="G109" s="13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394">
        <v>96</v>
      </c>
      <c r="B110" s="304">
        <v>9001857801</v>
      </c>
      <c r="C110" s="150" t="s">
        <v>113</v>
      </c>
      <c r="D110" s="151">
        <v>2</v>
      </c>
      <c r="E110" s="395">
        <f>+'SHEET 2'!U98</f>
        <v>2043.8504531250001</v>
      </c>
      <c r="F110" s="478">
        <f t="shared" si="1"/>
        <v>4087.7009062500001</v>
      </c>
      <c r="G110" s="12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394">
        <v>97</v>
      </c>
      <c r="B111" s="304">
        <v>9001857901</v>
      </c>
      <c r="C111" s="150" t="s">
        <v>114</v>
      </c>
      <c r="D111" s="151">
        <v>2</v>
      </c>
      <c r="E111" s="395">
        <f>+'SHEET 2'!U99</f>
        <v>476</v>
      </c>
      <c r="F111" s="478">
        <f t="shared" si="1"/>
        <v>952</v>
      </c>
      <c r="G111" s="48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394">
        <v>98</v>
      </c>
      <c r="B112" s="304">
        <v>9001859001</v>
      </c>
      <c r="C112" s="150" t="s">
        <v>115</v>
      </c>
      <c r="D112" s="151">
        <v>1</v>
      </c>
      <c r="E112" s="395">
        <f>+'SHEET 2'!U100</f>
        <v>0</v>
      </c>
      <c r="F112" s="478">
        <f t="shared" si="1"/>
        <v>0</v>
      </c>
      <c r="G112" s="482" t="s">
        <v>169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394">
        <v>99</v>
      </c>
      <c r="B113" s="304">
        <v>9001861001</v>
      </c>
      <c r="C113" s="150" t="s">
        <v>116</v>
      </c>
      <c r="D113" s="151">
        <v>2</v>
      </c>
      <c r="E113" s="395">
        <f>+'SHEET 2'!U101</f>
        <v>807.43903281250005</v>
      </c>
      <c r="F113" s="478">
        <f t="shared" si="1"/>
        <v>1614.8780656250001</v>
      </c>
      <c r="G113" s="14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394">
        <v>100</v>
      </c>
      <c r="B114" s="304">
        <v>9001861101</v>
      </c>
      <c r="C114" s="150" t="s">
        <v>117</v>
      </c>
      <c r="D114" s="151">
        <v>2</v>
      </c>
      <c r="E114" s="395">
        <f>+'SHEET 2'!U102</f>
        <v>850.26628125000002</v>
      </c>
      <c r="F114" s="478">
        <f t="shared" si="1"/>
        <v>1700.5325625</v>
      </c>
      <c r="G114" s="14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394">
        <v>101</v>
      </c>
      <c r="B115" s="304">
        <v>9001861201</v>
      </c>
      <c r="C115" s="150" t="s">
        <v>118</v>
      </c>
      <c r="D115" s="151">
        <v>2</v>
      </c>
      <c r="E115" s="395">
        <f>+'SHEET 2'!U103</f>
        <v>1047.2078515625001</v>
      </c>
      <c r="F115" s="478">
        <f t="shared" si="1"/>
        <v>2094.4157031250002</v>
      </c>
      <c r="G115" s="14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394">
        <v>102</v>
      </c>
      <c r="B116" s="304">
        <v>9001861401</v>
      </c>
      <c r="C116" s="150" t="s">
        <v>119</v>
      </c>
      <c r="D116" s="151">
        <v>2</v>
      </c>
      <c r="E116" s="395">
        <f>+'SHEET 2'!U104</f>
        <v>285.19570312500002</v>
      </c>
      <c r="F116" s="478">
        <f t="shared" si="1"/>
        <v>570.39140625000005</v>
      </c>
      <c r="G116" s="14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394">
        <v>103</v>
      </c>
      <c r="B117" s="304">
        <v>9001861501</v>
      </c>
      <c r="C117" s="150" t="s">
        <v>120</v>
      </c>
      <c r="D117" s="151">
        <v>2</v>
      </c>
      <c r="E117" s="395">
        <f>+'SHEET 2'!U105</f>
        <v>846.65681250000011</v>
      </c>
      <c r="F117" s="478">
        <f t="shared" si="1"/>
        <v>1693.3136250000002</v>
      </c>
      <c r="G117" s="14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391"/>
      <c r="B118" s="392"/>
      <c r="C118" s="393"/>
      <c r="D118" s="410" t="s">
        <v>121</v>
      </c>
      <c r="E118" s="411"/>
      <c r="F118" s="7">
        <f>SUM(F15:F117)</f>
        <v>765381.76914271922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412" t="s">
        <v>122</v>
      </c>
      <c r="B119" s="413"/>
      <c r="C119" s="413"/>
      <c r="D119" s="413"/>
      <c r="E119" s="413"/>
      <c r="F119" s="41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8" t="s">
        <v>123</v>
      </c>
      <c r="B120" s="9"/>
      <c r="C120" s="9"/>
      <c r="D120" s="10"/>
      <c r="E120" s="11"/>
      <c r="F120" s="1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8" t="s">
        <v>124</v>
      </c>
      <c r="B121" s="9"/>
      <c r="C121" s="9"/>
      <c r="D121" s="10"/>
      <c r="E121" s="11"/>
      <c r="F121" s="1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8" t="s">
        <v>125</v>
      </c>
      <c r="B122" s="9"/>
      <c r="C122" s="9"/>
      <c r="D122" s="10"/>
      <c r="E122" s="11"/>
      <c r="F122" s="1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399" t="s">
        <v>126</v>
      </c>
      <c r="B123" s="400"/>
      <c r="C123" s="400"/>
      <c r="D123" s="400"/>
      <c r="E123" s="400"/>
      <c r="F123" s="40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8" t="s">
        <v>127</v>
      </c>
      <c r="B124" s="9"/>
      <c r="C124" s="9"/>
      <c r="D124" s="10"/>
      <c r="E124" s="11"/>
      <c r="F124" s="1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399" t="s">
        <v>128</v>
      </c>
      <c r="B125" s="400"/>
      <c r="C125" s="400"/>
      <c r="D125" s="400"/>
      <c r="E125" s="400"/>
      <c r="F125" s="40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>
      <c r="A126" s="399" t="s">
        <v>129</v>
      </c>
      <c r="B126" s="400"/>
      <c r="C126" s="400"/>
      <c r="D126" s="400"/>
      <c r="E126" s="400"/>
      <c r="F126" s="401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>
      <c r="A127" s="402" t="s">
        <v>130</v>
      </c>
      <c r="B127" s="403"/>
      <c r="C127" s="403"/>
      <c r="D127" s="403"/>
      <c r="E127" s="403"/>
      <c r="F127" s="40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4"/>
      <c r="B128" s="14"/>
      <c r="C128" s="15"/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4"/>
      <c r="B129" s="14"/>
      <c r="C129" s="15"/>
      <c r="D129" s="1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4"/>
      <c r="B130" s="14"/>
      <c r="C130" s="15"/>
      <c r="D130" s="1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.75" customHeight="1">
      <c r="A131" s="14"/>
      <c r="B131" s="14"/>
      <c r="C131" s="15"/>
      <c r="D131" s="1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4"/>
      <c r="B132" s="14"/>
      <c r="C132" s="15"/>
      <c r="D132" s="1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3.25" customHeight="1">
      <c r="A133" s="14"/>
      <c r="B133" s="14"/>
      <c r="C133" s="15"/>
      <c r="D133" s="1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4"/>
      <c r="B134" s="14"/>
      <c r="C134" s="15"/>
      <c r="D134" s="1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4"/>
      <c r="B135" s="14"/>
      <c r="C135" s="15"/>
      <c r="D135" s="1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4"/>
      <c r="B136" s="14"/>
      <c r="C136" s="15"/>
      <c r="D136" s="1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4"/>
      <c r="B137" s="14"/>
      <c r="C137" s="15"/>
      <c r="D137" s="1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4"/>
      <c r="B138" s="14"/>
      <c r="C138" s="15"/>
      <c r="D138" s="1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4"/>
      <c r="B139" s="14"/>
      <c r="C139" s="15"/>
      <c r="D139" s="1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4"/>
      <c r="B140" s="14"/>
      <c r="C140" s="15"/>
      <c r="D140" s="1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4"/>
      <c r="B141" s="14"/>
      <c r="C141" s="15"/>
      <c r="D141" s="1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4"/>
      <c r="B142" s="14"/>
      <c r="C142" s="15"/>
      <c r="D142" s="1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4"/>
      <c r="B143" s="14"/>
      <c r="C143" s="15"/>
      <c r="D143" s="1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4"/>
      <c r="B144" s="14"/>
      <c r="C144" s="15"/>
      <c r="D144" s="1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4"/>
      <c r="B145" s="14"/>
      <c r="C145" s="15"/>
      <c r="D145" s="1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4"/>
      <c r="B146" s="14"/>
      <c r="C146" s="15"/>
      <c r="D146" s="1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4"/>
      <c r="B147" s="14"/>
      <c r="C147" s="15"/>
      <c r="D147" s="1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4"/>
      <c r="B148" s="14"/>
      <c r="C148" s="15"/>
      <c r="D148" s="1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4"/>
      <c r="B149" s="14"/>
      <c r="C149" s="15"/>
      <c r="D149" s="1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4"/>
      <c r="B150" s="14"/>
      <c r="C150" s="15"/>
      <c r="D150" s="16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4"/>
      <c r="B151" s="14"/>
      <c r="C151" s="15"/>
      <c r="D151" s="16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4"/>
      <c r="B152" s="14"/>
      <c r="C152" s="15"/>
      <c r="D152" s="16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4"/>
      <c r="B153" s="14"/>
      <c r="C153" s="15"/>
      <c r="D153" s="1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4"/>
      <c r="B154" s="14"/>
      <c r="C154" s="15"/>
      <c r="D154" s="16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4"/>
      <c r="B155" s="14"/>
      <c r="C155" s="15"/>
      <c r="D155" s="16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4"/>
      <c r="B156" s="14"/>
      <c r="C156" s="15"/>
      <c r="D156" s="16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4"/>
      <c r="B157" s="14"/>
      <c r="C157" s="15"/>
      <c r="D157" s="16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4"/>
      <c r="B158" s="14"/>
      <c r="C158" s="15"/>
      <c r="D158" s="16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4"/>
      <c r="B159" s="14"/>
      <c r="C159" s="15"/>
      <c r="D159" s="1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4"/>
      <c r="B160" s="14"/>
      <c r="C160" s="15"/>
      <c r="D160" s="1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4"/>
      <c r="B161" s="14"/>
      <c r="C161" s="15"/>
      <c r="D161" s="16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4"/>
      <c r="B162" s="14"/>
      <c r="C162" s="15"/>
      <c r="D162" s="16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4"/>
      <c r="B163" s="14"/>
      <c r="C163" s="15"/>
      <c r="D163" s="16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4"/>
      <c r="B164" s="14"/>
      <c r="C164" s="15"/>
      <c r="D164" s="1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4"/>
      <c r="B165" s="14"/>
      <c r="C165" s="15"/>
      <c r="D165" s="16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4"/>
      <c r="B166" s="14"/>
      <c r="C166" s="15"/>
      <c r="D166" s="16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4"/>
      <c r="B167" s="14"/>
      <c r="C167" s="15"/>
      <c r="D167" s="16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4"/>
      <c r="B168" s="14"/>
      <c r="C168" s="15"/>
      <c r="D168" s="16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4"/>
      <c r="B169" s="14"/>
      <c r="C169" s="15"/>
      <c r="D169" s="16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4"/>
      <c r="B170" s="14"/>
      <c r="C170" s="15"/>
      <c r="D170" s="16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4"/>
      <c r="B171" s="14"/>
      <c r="C171" s="15"/>
      <c r="D171" s="16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4"/>
      <c r="B172" s="14"/>
      <c r="C172" s="15"/>
      <c r="D172" s="16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4"/>
      <c r="B173" s="14"/>
      <c r="C173" s="15"/>
      <c r="D173" s="16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4"/>
      <c r="B174" s="14"/>
      <c r="C174" s="15"/>
      <c r="D174" s="1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4"/>
      <c r="B175" s="14"/>
      <c r="C175" s="15"/>
      <c r="D175" s="16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4"/>
      <c r="B176" s="14"/>
      <c r="C176" s="15"/>
      <c r="D176" s="16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4"/>
      <c r="B177" s="14"/>
      <c r="C177" s="15"/>
      <c r="D177" s="16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4"/>
      <c r="B178" s="14"/>
      <c r="C178" s="15"/>
      <c r="D178" s="1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4"/>
      <c r="B179" s="14"/>
      <c r="C179" s="15"/>
      <c r="D179" s="16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4"/>
      <c r="B180" s="14"/>
      <c r="C180" s="15"/>
      <c r="D180" s="16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4"/>
      <c r="B181" s="14"/>
      <c r="C181" s="15"/>
      <c r="D181" s="16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4"/>
      <c r="B182" s="14"/>
      <c r="C182" s="15"/>
      <c r="D182" s="1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4"/>
      <c r="B183" s="14"/>
      <c r="C183" s="15"/>
      <c r="D183" s="16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4"/>
      <c r="B184" s="14"/>
      <c r="C184" s="15"/>
      <c r="D184" s="16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4"/>
      <c r="B185" s="14"/>
      <c r="C185" s="15"/>
      <c r="D185" s="1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4"/>
      <c r="B186" s="14"/>
      <c r="C186" s="15"/>
      <c r="D186" s="16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4"/>
      <c r="B187" s="14"/>
      <c r="C187" s="15"/>
      <c r="D187" s="16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4"/>
      <c r="B188" s="14"/>
      <c r="C188" s="15"/>
      <c r="D188" s="16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4"/>
      <c r="B189" s="14"/>
      <c r="C189" s="15"/>
      <c r="D189" s="16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4"/>
      <c r="B190" s="14"/>
      <c r="C190" s="15"/>
      <c r="D190" s="16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4"/>
      <c r="B191" s="14"/>
      <c r="C191" s="15"/>
      <c r="D191" s="16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4"/>
      <c r="B192" s="14"/>
      <c r="C192" s="15"/>
      <c r="D192" s="16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4"/>
      <c r="B193" s="14"/>
      <c r="C193" s="15"/>
      <c r="D193" s="16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4"/>
      <c r="B194" s="14"/>
      <c r="C194" s="15"/>
      <c r="D194" s="16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4"/>
      <c r="B195" s="14"/>
      <c r="C195" s="15"/>
      <c r="D195" s="16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4"/>
      <c r="B196" s="14"/>
      <c r="C196" s="15"/>
      <c r="D196" s="16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4"/>
      <c r="B197" s="14"/>
      <c r="C197" s="15"/>
      <c r="D197" s="16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4"/>
      <c r="B198" s="14"/>
      <c r="C198" s="15"/>
      <c r="D198" s="16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4"/>
      <c r="B199" s="14"/>
      <c r="C199" s="15"/>
      <c r="D199" s="1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4"/>
      <c r="B200" s="14"/>
      <c r="C200" s="15"/>
      <c r="D200" s="1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4"/>
      <c r="B201" s="14"/>
      <c r="C201" s="15"/>
      <c r="D201" s="16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4"/>
      <c r="B202" s="14"/>
      <c r="C202" s="15"/>
      <c r="D202" s="16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4"/>
      <c r="B203" s="14"/>
      <c r="C203" s="15"/>
      <c r="D203" s="1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4"/>
      <c r="B204" s="14"/>
      <c r="C204" s="15"/>
      <c r="D204" s="1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4"/>
      <c r="B205" s="14"/>
      <c r="C205" s="15"/>
      <c r="D205" s="1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4"/>
      <c r="B206" s="14"/>
      <c r="C206" s="15"/>
      <c r="D206" s="1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4"/>
      <c r="B207" s="14"/>
      <c r="C207" s="15"/>
      <c r="D207" s="1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4"/>
      <c r="B208" s="14"/>
      <c r="C208" s="15"/>
      <c r="D208" s="1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4"/>
      <c r="B209" s="14"/>
      <c r="C209" s="15"/>
      <c r="D209" s="1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4"/>
      <c r="B210" s="14"/>
      <c r="C210" s="15"/>
      <c r="D210" s="1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4"/>
      <c r="B211" s="14"/>
      <c r="C211" s="15"/>
      <c r="D211" s="1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4"/>
      <c r="B212" s="14"/>
      <c r="C212" s="15"/>
      <c r="D212" s="1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4"/>
      <c r="B213" s="14"/>
      <c r="C213" s="15"/>
      <c r="D213" s="1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4"/>
      <c r="B214" s="14"/>
      <c r="C214" s="15"/>
      <c r="D214" s="1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4"/>
      <c r="B215" s="14"/>
      <c r="C215" s="15"/>
      <c r="D215" s="1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4"/>
      <c r="B216" s="14"/>
      <c r="C216" s="15"/>
      <c r="D216" s="1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4"/>
      <c r="B217" s="14"/>
      <c r="C217" s="15"/>
      <c r="D217" s="1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4"/>
      <c r="B218" s="14"/>
      <c r="C218" s="15"/>
      <c r="D218" s="1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4"/>
      <c r="B219" s="14"/>
      <c r="C219" s="15"/>
      <c r="D219" s="1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4"/>
      <c r="B220" s="14"/>
      <c r="C220" s="15"/>
      <c r="D220" s="1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4"/>
      <c r="B221" s="14"/>
      <c r="C221" s="15"/>
      <c r="D221" s="1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4"/>
      <c r="B222" s="14"/>
      <c r="C222" s="15"/>
      <c r="D222" s="1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4"/>
      <c r="B223" s="14"/>
      <c r="C223" s="15"/>
      <c r="D223" s="1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4"/>
      <c r="B224" s="14"/>
      <c r="C224" s="15"/>
      <c r="D224" s="1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4"/>
      <c r="B225" s="14"/>
      <c r="C225" s="15"/>
      <c r="D225" s="1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4"/>
      <c r="B226" s="14"/>
      <c r="C226" s="15"/>
      <c r="D226" s="1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4"/>
      <c r="B227" s="14"/>
      <c r="C227" s="15"/>
      <c r="D227" s="1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4"/>
      <c r="B228" s="14"/>
      <c r="C228" s="15"/>
      <c r="D228" s="1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4"/>
      <c r="B229" s="14"/>
      <c r="C229" s="15"/>
      <c r="D229" s="1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4"/>
      <c r="B230" s="14"/>
      <c r="C230" s="15"/>
      <c r="D230" s="1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4"/>
      <c r="B231" s="14"/>
      <c r="C231" s="15"/>
      <c r="D231" s="1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4"/>
      <c r="B232" s="14"/>
      <c r="C232" s="15"/>
      <c r="D232" s="1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4"/>
      <c r="B233" s="14"/>
      <c r="C233" s="15"/>
      <c r="D233" s="1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4"/>
      <c r="B234" s="14"/>
      <c r="C234" s="15"/>
      <c r="D234" s="1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4"/>
      <c r="B235" s="14"/>
      <c r="C235" s="15"/>
      <c r="D235" s="1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4"/>
      <c r="B236" s="14"/>
      <c r="C236" s="15"/>
      <c r="D236" s="1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4"/>
      <c r="B237" s="14"/>
      <c r="C237" s="15"/>
      <c r="D237" s="1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4"/>
      <c r="B238" s="14"/>
      <c r="C238" s="15"/>
      <c r="D238" s="1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4"/>
      <c r="B239" s="14"/>
      <c r="C239" s="15"/>
      <c r="D239" s="1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4"/>
      <c r="B240" s="14"/>
      <c r="C240" s="15"/>
      <c r="D240" s="1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4"/>
      <c r="B241" s="14"/>
      <c r="C241" s="15"/>
      <c r="D241" s="1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4"/>
      <c r="B242" s="14"/>
      <c r="C242" s="15"/>
      <c r="D242" s="1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4"/>
      <c r="B243" s="14"/>
      <c r="C243" s="15"/>
      <c r="D243" s="1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4"/>
      <c r="B244" s="14"/>
      <c r="C244" s="15"/>
      <c r="D244" s="1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4"/>
      <c r="B245" s="14"/>
      <c r="C245" s="15"/>
      <c r="D245" s="1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4"/>
      <c r="B246" s="14"/>
      <c r="C246" s="15"/>
      <c r="D246" s="1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4"/>
      <c r="B247" s="14"/>
      <c r="C247" s="15"/>
      <c r="D247" s="1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4"/>
      <c r="B248" s="14"/>
      <c r="C248" s="15"/>
      <c r="D248" s="1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4"/>
      <c r="B249" s="14"/>
      <c r="C249" s="15"/>
      <c r="D249" s="1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4"/>
      <c r="B250" s="14"/>
      <c r="C250" s="15"/>
      <c r="D250" s="1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4"/>
      <c r="B251" s="14"/>
      <c r="C251" s="15"/>
      <c r="D251" s="1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4"/>
      <c r="B252" s="14"/>
      <c r="C252" s="15"/>
      <c r="D252" s="1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4"/>
      <c r="B253" s="14"/>
      <c r="C253" s="15"/>
      <c r="D253" s="1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4"/>
      <c r="B254" s="14"/>
      <c r="C254" s="15"/>
      <c r="D254" s="1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4"/>
      <c r="B255" s="14"/>
      <c r="C255" s="15"/>
      <c r="D255" s="1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4"/>
      <c r="B256" s="14"/>
      <c r="C256" s="15"/>
      <c r="D256" s="1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4"/>
      <c r="B257" s="14"/>
      <c r="C257" s="15"/>
      <c r="D257" s="1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4"/>
      <c r="B258" s="14"/>
      <c r="C258" s="15"/>
      <c r="D258" s="1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4"/>
      <c r="B259" s="14"/>
      <c r="C259" s="15"/>
      <c r="D259" s="1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4"/>
      <c r="B260" s="14"/>
      <c r="C260" s="15"/>
      <c r="D260" s="1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4"/>
      <c r="B261" s="14"/>
      <c r="C261" s="15"/>
      <c r="D261" s="1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4"/>
      <c r="B262" s="14"/>
      <c r="C262" s="15"/>
      <c r="D262" s="1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4"/>
      <c r="B263" s="14"/>
      <c r="C263" s="15"/>
      <c r="D263" s="1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4"/>
      <c r="B264" s="14"/>
      <c r="C264" s="15"/>
      <c r="D264" s="1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4"/>
      <c r="B265" s="14"/>
      <c r="C265" s="15"/>
      <c r="D265" s="1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4"/>
      <c r="B266" s="14"/>
      <c r="C266" s="15"/>
      <c r="D266" s="1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4"/>
      <c r="B267" s="14"/>
      <c r="C267" s="15"/>
      <c r="D267" s="1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4"/>
      <c r="B268" s="14"/>
      <c r="C268" s="15"/>
      <c r="D268" s="1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4"/>
      <c r="B269" s="14"/>
      <c r="C269" s="15"/>
      <c r="D269" s="1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4"/>
      <c r="B270" s="14"/>
      <c r="C270" s="15"/>
      <c r="D270" s="1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4"/>
      <c r="B271" s="14"/>
      <c r="C271" s="15"/>
      <c r="D271" s="1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4"/>
      <c r="B272" s="14"/>
      <c r="C272" s="15"/>
      <c r="D272" s="1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4"/>
      <c r="B273" s="14"/>
      <c r="C273" s="15"/>
      <c r="D273" s="1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4"/>
      <c r="B274" s="14"/>
      <c r="C274" s="15"/>
      <c r="D274" s="1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4"/>
      <c r="B275" s="14"/>
      <c r="C275" s="15"/>
      <c r="D275" s="1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4"/>
      <c r="B276" s="14"/>
      <c r="C276" s="15"/>
      <c r="D276" s="1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4"/>
      <c r="B277" s="14"/>
      <c r="C277" s="15"/>
      <c r="D277" s="1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4"/>
      <c r="B278" s="14"/>
      <c r="C278" s="15"/>
      <c r="D278" s="1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4"/>
      <c r="B279" s="14"/>
      <c r="C279" s="15"/>
      <c r="D279" s="1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4"/>
      <c r="B280" s="14"/>
      <c r="C280" s="15"/>
      <c r="D280" s="1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4"/>
      <c r="B281" s="14"/>
      <c r="C281" s="15"/>
      <c r="D281" s="1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4"/>
      <c r="B282" s="14"/>
      <c r="C282" s="15"/>
      <c r="D282" s="1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4"/>
      <c r="B283" s="14"/>
      <c r="C283" s="15"/>
      <c r="D283" s="1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4"/>
      <c r="B284" s="14"/>
      <c r="C284" s="15"/>
      <c r="D284" s="1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4"/>
      <c r="B285" s="14"/>
      <c r="C285" s="15"/>
      <c r="D285" s="1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4"/>
      <c r="B286" s="14"/>
      <c r="C286" s="15"/>
      <c r="D286" s="1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4"/>
      <c r="B287" s="14"/>
      <c r="C287" s="15"/>
      <c r="D287" s="1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4"/>
      <c r="B288" s="14"/>
      <c r="C288" s="15"/>
      <c r="D288" s="1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4"/>
      <c r="B289" s="14"/>
      <c r="C289" s="15"/>
      <c r="D289" s="1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4"/>
      <c r="B290" s="14"/>
      <c r="C290" s="15"/>
      <c r="D290" s="1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4"/>
      <c r="B291" s="14"/>
      <c r="C291" s="15"/>
      <c r="D291" s="1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4"/>
      <c r="B292" s="14"/>
      <c r="C292" s="15"/>
      <c r="D292" s="1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4"/>
      <c r="B293" s="14"/>
      <c r="C293" s="15"/>
      <c r="D293" s="1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4"/>
      <c r="B294" s="14"/>
      <c r="C294" s="15"/>
      <c r="D294" s="1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4"/>
      <c r="B295" s="14"/>
      <c r="C295" s="15"/>
      <c r="D295" s="1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4"/>
      <c r="B296" s="14"/>
      <c r="C296" s="15"/>
      <c r="D296" s="1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4"/>
      <c r="B297" s="14"/>
      <c r="C297" s="15"/>
      <c r="D297" s="1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4"/>
      <c r="B298" s="14"/>
      <c r="C298" s="15"/>
      <c r="D298" s="1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4"/>
      <c r="B299" s="14"/>
      <c r="C299" s="15"/>
      <c r="D299" s="1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4"/>
      <c r="B300" s="14"/>
      <c r="C300" s="15"/>
      <c r="D300" s="1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4"/>
      <c r="B301" s="14"/>
      <c r="C301" s="15"/>
      <c r="D301" s="1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4"/>
      <c r="B302" s="14"/>
      <c r="C302" s="15"/>
      <c r="D302" s="1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4"/>
      <c r="B303" s="14"/>
      <c r="C303" s="15"/>
      <c r="D303" s="1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4"/>
      <c r="B304" s="14"/>
      <c r="C304" s="15"/>
      <c r="D304" s="1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4"/>
      <c r="B305" s="14"/>
      <c r="C305" s="15"/>
      <c r="D305" s="1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4"/>
      <c r="B306" s="14"/>
      <c r="C306" s="15"/>
      <c r="D306" s="1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4"/>
      <c r="B307" s="14"/>
      <c r="C307" s="15"/>
      <c r="D307" s="1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4"/>
      <c r="B308" s="14"/>
      <c r="C308" s="15"/>
      <c r="D308" s="1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4"/>
      <c r="B309" s="14"/>
      <c r="C309" s="15"/>
      <c r="D309" s="1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4"/>
      <c r="B310" s="14"/>
      <c r="C310" s="15"/>
      <c r="D310" s="1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4"/>
      <c r="B311" s="14"/>
      <c r="C311" s="15"/>
      <c r="D311" s="1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4"/>
      <c r="B312" s="14"/>
      <c r="C312" s="15"/>
      <c r="D312" s="1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4"/>
      <c r="B313" s="14"/>
      <c r="C313" s="15"/>
      <c r="D313" s="1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4"/>
      <c r="B314" s="14"/>
      <c r="C314" s="15"/>
      <c r="D314" s="1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4"/>
      <c r="B315" s="14"/>
      <c r="C315" s="15"/>
      <c r="D315" s="1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4"/>
      <c r="B316" s="14"/>
      <c r="C316" s="15"/>
      <c r="D316" s="1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4"/>
      <c r="B317" s="14"/>
      <c r="C317" s="15"/>
      <c r="D317" s="1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4"/>
      <c r="B318" s="14"/>
      <c r="C318" s="15"/>
      <c r="D318" s="1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4"/>
      <c r="B319" s="14"/>
      <c r="C319" s="15"/>
      <c r="D319" s="1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4"/>
      <c r="B320" s="14"/>
      <c r="C320" s="15"/>
      <c r="D320" s="1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4"/>
      <c r="B321" s="14"/>
      <c r="C321" s="15"/>
      <c r="D321" s="1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4"/>
      <c r="B322" s="14"/>
      <c r="C322" s="15"/>
      <c r="D322" s="1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4"/>
      <c r="B323" s="14"/>
      <c r="C323" s="15"/>
      <c r="D323" s="1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4"/>
      <c r="B324" s="14"/>
      <c r="C324" s="15"/>
      <c r="D324" s="1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4"/>
      <c r="B325" s="14"/>
      <c r="C325" s="15"/>
      <c r="D325" s="1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4"/>
      <c r="B326" s="14"/>
      <c r="C326" s="15"/>
      <c r="D326" s="1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4"/>
      <c r="B327" s="14"/>
      <c r="C327" s="15"/>
      <c r="D327" s="1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4"/>
      <c r="B328" s="14"/>
      <c r="C328" s="15"/>
      <c r="D328" s="1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4"/>
      <c r="B329" s="14"/>
      <c r="C329" s="15"/>
      <c r="D329" s="1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4"/>
      <c r="B330" s="14"/>
      <c r="C330" s="15"/>
      <c r="D330" s="1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4"/>
      <c r="B331" s="14"/>
      <c r="C331" s="15"/>
      <c r="D331" s="1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4"/>
      <c r="B332" s="14"/>
      <c r="C332" s="15"/>
      <c r="D332" s="1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4"/>
      <c r="B333" s="14"/>
      <c r="C333" s="15"/>
      <c r="D333" s="1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4"/>
      <c r="B334" s="14"/>
      <c r="C334" s="15"/>
      <c r="D334" s="1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4"/>
      <c r="B335" s="14"/>
      <c r="C335" s="15"/>
      <c r="D335" s="1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4"/>
      <c r="B336" s="14"/>
      <c r="C336" s="15"/>
      <c r="D336" s="1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4"/>
      <c r="B337" s="14"/>
      <c r="C337" s="15"/>
      <c r="D337" s="1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4"/>
      <c r="B338" s="14"/>
      <c r="C338" s="15"/>
      <c r="D338" s="1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4"/>
      <c r="B339" s="14"/>
      <c r="C339" s="15"/>
      <c r="D339" s="1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4"/>
      <c r="B340" s="14"/>
      <c r="C340" s="15"/>
      <c r="D340" s="1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4"/>
      <c r="B341" s="14"/>
      <c r="C341" s="15"/>
      <c r="D341" s="1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4"/>
      <c r="B342" s="14"/>
      <c r="C342" s="15"/>
      <c r="D342" s="1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4"/>
      <c r="B343" s="14"/>
      <c r="C343" s="15"/>
      <c r="D343" s="1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4"/>
      <c r="B344" s="14"/>
      <c r="C344" s="15"/>
      <c r="D344" s="1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4"/>
      <c r="B345" s="14"/>
      <c r="C345" s="15"/>
      <c r="D345" s="1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4"/>
      <c r="B346" s="14"/>
      <c r="C346" s="15"/>
      <c r="D346" s="1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4"/>
      <c r="B347" s="14"/>
      <c r="C347" s="15"/>
      <c r="D347" s="1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4"/>
      <c r="B348" s="14"/>
      <c r="C348" s="15"/>
      <c r="D348" s="1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4"/>
      <c r="B349" s="14"/>
      <c r="C349" s="15"/>
      <c r="D349" s="1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4"/>
      <c r="B350" s="14"/>
      <c r="C350" s="15"/>
      <c r="D350" s="1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4"/>
      <c r="B351" s="14"/>
      <c r="C351" s="15"/>
      <c r="D351" s="1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4"/>
      <c r="B352" s="14"/>
      <c r="C352" s="15"/>
      <c r="D352" s="1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4"/>
      <c r="B353" s="14"/>
      <c r="C353" s="15"/>
      <c r="D353" s="1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4"/>
      <c r="B354" s="14"/>
      <c r="C354" s="15"/>
      <c r="D354" s="1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4"/>
      <c r="B355" s="14"/>
      <c r="C355" s="15"/>
      <c r="D355" s="1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4"/>
      <c r="B356" s="14"/>
      <c r="C356" s="15"/>
      <c r="D356" s="1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4"/>
      <c r="B357" s="14"/>
      <c r="C357" s="15"/>
      <c r="D357" s="1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4"/>
      <c r="B358" s="14"/>
      <c r="C358" s="15"/>
      <c r="D358" s="1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4"/>
      <c r="B359" s="14"/>
      <c r="C359" s="15"/>
      <c r="D359" s="1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4"/>
      <c r="B360" s="14"/>
      <c r="C360" s="15"/>
      <c r="D360" s="1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4"/>
      <c r="B361" s="14"/>
      <c r="C361" s="15"/>
      <c r="D361" s="1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4"/>
      <c r="B362" s="14"/>
      <c r="C362" s="15"/>
      <c r="D362" s="1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4"/>
      <c r="B363" s="14"/>
      <c r="C363" s="15"/>
      <c r="D363" s="1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4"/>
      <c r="B364" s="14"/>
      <c r="C364" s="15"/>
      <c r="D364" s="1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4"/>
      <c r="B365" s="14"/>
      <c r="C365" s="15"/>
      <c r="D365" s="1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4"/>
      <c r="B366" s="14"/>
      <c r="C366" s="15"/>
      <c r="D366" s="1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4"/>
      <c r="B367" s="14"/>
      <c r="C367" s="15"/>
      <c r="D367" s="1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4"/>
      <c r="B368" s="14"/>
      <c r="C368" s="15"/>
      <c r="D368" s="1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4"/>
      <c r="B369" s="14"/>
      <c r="C369" s="15"/>
      <c r="D369" s="1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4"/>
      <c r="B370" s="14"/>
      <c r="C370" s="15"/>
      <c r="D370" s="1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4"/>
      <c r="B371" s="14"/>
      <c r="C371" s="15"/>
      <c r="D371" s="1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4"/>
      <c r="B372" s="14"/>
      <c r="C372" s="15"/>
      <c r="D372" s="1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4"/>
      <c r="B373" s="14"/>
      <c r="C373" s="15"/>
      <c r="D373" s="1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4"/>
      <c r="B374" s="14"/>
      <c r="C374" s="15"/>
      <c r="D374" s="1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4"/>
      <c r="B375" s="14"/>
      <c r="C375" s="15"/>
      <c r="D375" s="1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4"/>
      <c r="B376" s="14"/>
      <c r="C376" s="15"/>
      <c r="D376" s="1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4"/>
      <c r="B377" s="14"/>
      <c r="C377" s="15"/>
      <c r="D377" s="1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4"/>
      <c r="B378" s="14"/>
      <c r="C378" s="15"/>
      <c r="D378" s="1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4"/>
      <c r="B379" s="14"/>
      <c r="C379" s="15"/>
      <c r="D379" s="1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4"/>
      <c r="B380" s="14"/>
      <c r="C380" s="15"/>
      <c r="D380" s="1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4"/>
      <c r="B381" s="14"/>
      <c r="C381" s="15"/>
      <c r="D381" s="1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4"/>
      <c r="B382" s="14"/>
      <c r="C382" s="15"/>
      <c r="D382" s="1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4"/>
      <c r="B383" s="14"/>
      <c r="C383" s="15"/>
      <c r="D383" s="1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4"/>
      <c r="B384" s="14"/>
      <c r="C384" s="15"/>
      <c r="D384" s="1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4"/>
      <c r="B385" s="14"/>
      <c r="C385" s="15"/>
      <c r="D385" s="1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4"/>
      <c r="B386" s="14"/>
      <c r="C386" s="15"/>
      <c r="D386" s="1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4"/>
      <c r="B387" s="14"/>
      <c r="C387" s="15"/>
      <c r="D387" s="1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4"/>
      <c r="B388" s="14"/>
      <c r="C388" s="15"/>
      <c r="D388" s="1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4"/>
      <c r="B389" s="14"/>
      <c r="C389" s="15"/>
      <c r="D389" s="1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4"/>
      <c r="B390" s="14"/>
      <c r="C390" s="15"/>
      <c r="D390" s="1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4"/>
      <c r="B391" s="14"/>
      <c r="C391" s="15"/>
      <c r="D391" s="1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4"/>
      <c r="B392" s="14"/>
      <c r="C392" s="15"/>
      <c r="D392" s="1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4"/>
      <c r="B393" s="14"/>
      <c r="C393" s="15"/>
      <c r="D393" s="1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4"/>
      <c r="B394" s="14"/>
      <c r="C394" s="15"/>
      <c r="D394" s="1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4"/>
      <c r="B395" s="14"/>
      <c r="C395" s="15"/>
      <c r="D395" s="1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4"/>
      <c r="B396" s="14"/>
      <c r="C396" s="15"/>
      <c r="D396" s="1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4"/>
      <c r="B397" s="14"/>
      <c r="C397" s="15"/>
      <c r="D397" s="1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4"/>
      <c r="B398" s="14"/>
      <c r="C398" s="15"/>
      <c r="D398" s="16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4"/>
      <c r="B399" s="14"/>
      <c r="C399" s="15"/>
      <c r="D399" s="16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4"/>
      <c r="B400" s="14"/>
      <c r="C400" s="15"/>
      <c r="D400" s="16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4"/>
      <c r="B401" s="14"/>
      <c r="C401" s="15"/>
      <c r="D401" s="16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4"/>
      <c r="B402" s="14"/>
      <c r="C402" s="15"/>
      <c r="D402" s="16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4"/>
      <c r="B403" s="14"/>
      <c r="C403" s="15"/>
      <c r="D403" s="1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4"/>
      <c r="B404" s="14"/>
      <c r="C404" s="15"/>
      <c r="D404" s="1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4"/>
      <c r="B405" s="14"/>
      <c r="C405" s="15"/>
      <c r="D405" s="1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4"/>
      <c r="B406" s="14"/>
      <c r="C406" s="15"/>
      <c r="D406" s="1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4"/>
      <c r="B407" s="14"/>
      <c r="C407" s="15"/>
      <c r="D407" s="1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4"/>
      <c r="B408" s="14"/>
      <c r="C408" s="15"/>
      <c r="D408" s="1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4"/>
      <c r="B409" s="14"/>
      <c r="C409" s="15"/>
      <c r="D409" s="1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4"/>
      <c r="B410" s="14"/>
      <c r="C410" s="15"/>
      <c r="D410" s="1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4"/>
      <c r="B411" s="14"/>
      <c r="C411" s="15"/>
      <c r="D411" s="1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4"/>
      <c r="B412" s="14"/>
      <c r="C412" s="15"/>
      <c r="D412" s="1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4"/>
      <c r="B413" s="14"/>
      <c r="C413" s="15"/>
      <c r="D413" s="1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4"/>
      <c r="B414" s="14"/>
      <c r="C414" s="15"/>
      <c r="D414" s="1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4"/>
      <c r="B415" s="14"/>
      <c r="C415" s="15"/>
      <c r="D415" s="1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4"/>
      <c r="B416" s="14"/>
      <c r="C416" s="15"/>
      <c r="D416" s="1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4"/>
      <c r="B417" s="14"/>
      <c r="C417" s="15"/>
      <c r="D417" s="1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4"/>
      <c r="B418" s="14"/>
      <c r="C418" s="15"/>
      <c r="D418" s="1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4"/>
      <c r="B419" s="14"/>
      <c r="C419" s="15"/>
      <c r="D419" s="1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4"/>
      <c r="B420" s="14"/>
      <c r="C420" s="15"/>
      <c r="D420" s="1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4"/>
      <c r="B421" s="14"/>
      <c r="C421" s="15"/>
      <c r="D421" s="1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4"/>
      <c r="B422" s="14"/>
      <c r="C422" s="15"/>
      <c r="D422" s="1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4"/>
      <c r="B423" s="14"/>
      <c r="C423" s="15"/>
      <c r="D423" s="1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4"/>
      <c r="B424" s="14"/>
      <c r="C424" s="15"/>
      <c r="D424" s="1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4"/>
      <c r="B425" s="14"/>
      <c r="C425" s="15"/>
      <c r="D425" s="1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4"/>
      <c r="B426" s="14"/>
      <c r="C426" s="15"/>
      <c r="D426" s="1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4"/>
      <c r="B427" s="14"/>
      <c r="C427" s="15"/>
      <c r="D427" s="1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4"/>
      <c r="B428" s="14"/>
      <c r="C428" s="15"/>
      <c r="D428" s="1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4"/>
      <c r="B429" s="14"/>
      <c r="C429" s="15"/>
      <c r="D429" s="1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4"/>
      <c r="B430" s="14"/>
      <c r="C430" s="15"/>
      <c r="D430" s="1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4"/>
      <c r="B431" s="14"/>
      <c r="C431" s="15"/>
      <c r="D431" s="1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4"/>
      <c r="B432" s="14"/>
      <c r="C432" s="15"/>
      <c r="D432" s="1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4"/>
      <c r="B433" s="14"/>
      <c r="C433" s="15"/>
      <c r="D433" s="1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4"/>
      <c r="B434" s="14"/>
      <c r="C434" s="15"/>
      <c r="D434" s="1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4"/>
      <c r="B435" s="14"/>
      <c r="C435" s="15"/>
      <c r="D435" s="1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4"/>
      <c r="B436" s="14"/>
      <c r="C436" s="15"/>
      <c r="D436" s="1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4"/>
      <c r="B437" s="14"/>
      <c r="C437" s="15"/>
      <c r="D437" s="1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4"/>
      <c r="B438" s="14"/>
      <c r="C438" s="15"/>
      <c r="D438" s="1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4"/>
      <c r="B439" s="14"/>
      <c r="C439" s="15"/>
      <c r="D439" s="1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4"/>
      <c r="B440" s="14"/>
      <c r="C440" s="15"/>
      <c r="D440" s="1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4"/>
      <c r="B441" s="14"/>
      <c r="C441" s="15"/>
      <c r="D441" s="1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4"/>
      <c r="B442" s="14"/>
      <c r="C442" s="15"/>
      <c r="D442" s="1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4"/>
      <c r="B443" s="14"/>
      <c r="C443" s="15"/>
      <c r="D443" s="1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4"/>
      <c r="B444" s="14"/>
      <c r="C444" s="15"/>
      <c r="D444" s="1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4"/>
      <c r="B445" s="14"/>
      <c r="C445" s="15"/>
      <c r="D445" s="1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4"/>
      <c r="B446" s="14"/>
      <c r="C446" s="15"/>
      <c r="D446" s="1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4"/>
      <c r="B447" s="14"/>
      <c r="C447" s="15"/>
      <c r="D447" s="1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4"/>
      <c r="B448" s="14"/>
      <c r="C448" s="15"/>
      <c r="D448" s="1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4"/>
      <c r="B449" s="14"/>
      <c r="C449" s="15"/>
      <c r="D449" s="1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4"/>
      <c r="B450" s="14"/>
      <c r="C450" s="15"/>
      <c r="D450" s="1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4"/>
      <c r="B451" s="14"/>
      <c r="C451" s="15"/>
      <c r="D451" s="1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4"/>
      <c r="B452" s="14"/>
      <c r="C452" s="15"/>
      <c r="D452" s="1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4"/>
      <c r="B453" s="14"/>
      <c r="C453" s="15"/>
      <c r="D453" s="1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4"/>
      <c r="B454" s="14"/>
      <c r="C454" s="15"/>
      <c r="D454" s="1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4"/>
      <c r="B455" s="14"/>
      <c r="C455" s="15"/>
      <c r="D455" s="1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4"/>
      <c r="B456" s="14"/>
      <c r="C456" s="15"/>
      <c r="D456" s="1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4"/>
      <c r="B457" s="14"/>
      <c r="C457" s="15"/>
      <c r="D457" s="1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4"/>
      <c r="B458" s="14"/>
      <c r="C458" s="15"/>
      <c r="D458" s="1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4"/>
      <c r="B459" s="14"/>
      <c r="C459" s="15"/>
      <c r="D459" s="1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4"/>
      <c r="B460" s="14"/>
      <c r="C460" s="15"/>
      <c r="D460" s="1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4"/>
      <c r="B461" s="14"/>
      <c r="C461" s="15"/>
      <c r="D461" s="1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4"/>
      <c r="B462" s="14"/>
      <c r="C462" s="15"/>
      <c r="D462" s="1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4"/>
      <c r="B463" s="14"/>
      <c r="C463" s="15"/>
      <c r="D463" s="1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4"/>
      <c r="B464" s="14"/>
      <c r="C464" s="15"/>
      <c r="D464" s="1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4"/>
      <c r="B465" s="14"/>
      <c r="C465" s="15"/>
      <c r="D465" s="1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4"/>
      <c r="B466" s="14"/>
      <c r="C466" s="15"/>
      <c r="D466" s="1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4"/>
      <c r="B467" s="14"/>
      <c r="C467" s="15"/>
      <c r="D467" s="1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4"/>
      <c r="B468" s="14"/>
      <c r="C468" s="15"/>
      <c r="D468" s="1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4"/>
      <c r="B469" s="14"/>
      <c r="C469" s="15"/>
      <c r="D469" s="1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4"/>
      <c r="B470" s="14"/>
      <c r="C470" s="15"/>
      <c r="D470" s="1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4"/>
      <c r="B471" s="14"/>
      <c r="C471" s="15"/>
      <c r="D471" s="1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4"/>
      <c r="B472" s="14"/>
      <c r="C472" s="15"/>
      <c r="D472" s="1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4"/>
      <c r="B473" s="14"/>
      <c r="C473" s="15"/>
      <c r="D473" s="1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4"/>
      <c r="B474" s="14"/>
      <c r="C474" s="15"/>
      <c r="D474" s="1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4"/>
      <c r="B475" s="14"/>
      <c r="C475" s="15"/>
      <c r="D475" s="1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4"/>
      <c r="B476" s="14"/>
      <c r="C476" s="15"/>
      <c r="D476" s="1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4"/>
      <c r="B477" s="14"/>
      <c r="C477" s="15"/>
      <c r="D477" s="1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4"/>
      <c r="B478" s="14"/>
      <c r="C478" s="15"/>
      <c r="D478" s="1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4"/>
      <c r="B479" s="14"/>
      <c r="C479" s="15"/>
      <c r="D479" s="1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4"/>
      <c r="B480" s="14"/>
      <c r="C480" s="15"/>
      <c r="D480" s="1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4"/>
      <c r="B481" s="14"/>
      <c r="C481" s="15"/>
      <c r="D481" s="1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4"/>
      <c r="B482" s="14"/>
      <c r="C482" s="15"/>
      <c r="D482" s="1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4"/>
      <c r="B483" s="14"/>
      <c r="C483" s="15"/>
      <c r="D483" s="1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4"/>
      <c r="B484" s="14"/>
      <c r="C484" s="15"/>
      <c r="D484" s="1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4"/>
      <c r="B485" s="14"/>
      <c r="C485" s="15"/>
      <c r="D485" s="1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4"/>
      <c r="B486" s="14"/>
      <c r="C486" s="15"/>
      <c r="D486" s="1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4"/>
      <c r="B487" s="14"/>
      <c r="C487" s="15"/>
      <c r="D487" s="1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4"/>
      <c r="B488" s="14"/>
      <c r="C488" s="15"/>
      <c r="D488" s="1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4"/>
      <c r="B489" s="14"/>
      <c r="C489" s="15"/>
      <c r="D489" s="1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4"/>
      <c r="B490" s="14"/>
      <c r="C490" s="15"/>
      <c r="D490" s="1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4"/>
      <c r="B491" s="14"/>
      <c r="C491" s="15"/>
      <c r="D491" s="1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4"/>
      <c r="B492" s="14"/>
      <c r="C492" s="15"/>
      <c r="D492" s="1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4"/>
      <c r="B493" s="14"/>
      <c r="C493" s="15"/>
      <c r="D493" s="1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4"/>
      <c r="B494" s="14"/>
      <c r="C494" s="15"/>
      <c r="D494" s="1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4"/>
      <c r="B495" s="14"/>
      <c r="C495" s="15"/>
      <c r="D495" s="1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4"/>
      <c r="B496" s="14"/>
      <c r="C496" s="15"/>
      <c r="D496" s="1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4"/>
      <c r="B497" s="14"/>
      <c r="C497" s="15"/>
      <c r="D497" s="1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4"/>
      <c r="B498" s="14"/>
      <c r="C498" s="15"/>
      <c r="D498" s="1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4"/>
      <c r="B499" s="14"/>
      <c r="C499" s="15"/>
      <c r="D499" s="1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4"/>
      <c r="B500" s="14"/>
      <c r="C500" s="15"/>
      <c r="D500" s="1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4"/>
      <c r="B501" s="14"/>
      <c r="C501" s="15"/>
      <c r="D501" s="1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4"/>
      <c r="B502" s="14"/>
      <c r="C502" s="15"/>
      <c r="D502" s="1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4"/>
      <c r="B503" s="14"/>
      <c r="C503" s="15"/>
      <c r="D503" s="1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4"/>
      <c r="B504" s="14"/>
      <c r="C504" s="15"/>
      <c r="D504" s="1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4"/>
      <c r="B505" s="14"/>
      <c r="C505" s="15"/>
      <c r="D505" s="1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4"/>
      <c r="B506" s="14"/>
      <c r="C506" s="15"/>
      <c r="D506" s="1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4"/>
      <c r="B507" s="14"/>
      <c r="C507" s="15"/>
      <c r="D507" s="1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4"/>
      <c r="B508" s="14"/>
      <c r="C508" s="15"/>
      <c r="D508" s="1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4"/>
      <c r="B509" s="14"/>
      <c r="C509" s="15"/>
      <c r="D509" s="1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4"/>
      <c r="B510" s="14"/>
      <c r="C510" s="15"/>
      <c r="D510" s="1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4"/>
      <c r="B511" s="14"/>
      <c r="C511" s="15"/>
      <c r="D511" s="1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4"/>
      <c r="B512" s="14"/>
      <c r="C512" s="15"/>
      <c r="D512" s="1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4"/>
      <c r="B513" s="14"/>
      <c r="C513" s="15"/>
      <c r="D513" s="1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4"/>
      <c r="B514" s="14"/>
      <c r="C514" s="15"/>
      <c r="D514" s="1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4"/>
      <c r="B515" s="14"/>
      <c r="C515" s="15"/>
      <c r="D515" s="1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4"/>
      <c r="B516" s="14"/>
      <c r="C516" s="15"/>
      <c r="D516" s="1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4"/>
      <c r="B517" s="14"/>
      <c r="C517" s="15"/>
      <c r="D517" s="1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4"/>
      <c r="B518" s="14"/>
      <c r="C518" s="15"/>
      <c r="D518" s="1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4"/>
      <c r="B519" s="14"/>
      <c r="C519" s="15"/>
      <c r="D519" s="1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4"/>
      <c r="B520" s="14"/>
      <c r="C520" s="15"/>
      <c r="D520" s="1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4"/>
      <c r="B521" s="14"/>
      <c r="C521" s="15"/>
      <c r="D521" s="1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4"/>
      <c r="B522" s="14"/>
      <c r="C522" s="15"/>
      <c r="D522" s="1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4"/>
      <c r="B523" s="14"/>
      <c r="C523" s="15"/>
      <c r="D523" s="1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4"/>
      <c r="B524" s="14"/>
      <c r="C524" s="15"/>
      <c r="D524" s="1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4"/>
      <c r="B525" s="14"/>
      <c r="C525" s="15"/>
      <c r="D525" s="1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4"/>
      <c r="B526" s="14"/>
      <c r="C526" s="15"/>
      <c r="D526" s="1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4"/>
      <c r="B527" s="14"/>
      <c r="C527" s="15"/>
      <c r="D527" s="1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4"/>
      <c r="B528" s="14"/>
      <c r="C528" s="15"/>
      <c r="D528" s="1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4"/>
      <c r="B529" s="14"/>
      <c r="C529" s="15"/>
      <c r="D529" s="1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4"/>
      <c r="B530" s="14"/>
      <c r="C530" s="15"/>
      <c r="D530" s="1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4"/>
      <c r="B531" s="14"/>
      <c r="C531" s="15"/>
      <c r="D531" s="1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4"/>
      <c r="B532" s="14"/>
      <c r="C532" s="15"/>
      <c r="D532" s="1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4"/>
      <c r="B533" s="14"/>
      <c r="C533" s="15"/>
      <c r="D533" s="1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4"/>
      <c r="B534" s="14"/>
      <c r="C534" s="15"/>
      <c r="D534" s="1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4"/>
      <c r="B535" s="14"/>
      <c r="C535" s="15"/>
      <c r="D535" s="1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4"/>
      <c r="B536" s="14"/>
      <c r="C536" s="15"/>
      <c r="D536" s="1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4"/>
      <c r="B537" s="14"/>
      <c r="C537" s="15"/>
      <c r="D537" s="1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4"/>
      <c r="B538" s="14"/>
      <c r="C538" s="15"/>
      <c r="D538" s="1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4"/>
      <c r="B539" s="14"/>
      <c r="C539" s="15"/>
      <c r="D539" s="1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4"/>
      <c r="B540" s="14"/>
      <c r="C540" s="15"/>
      <c r="D540" s="1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4"/>
      <c r="B541" s="14"/>
      <c r="C541" s="15"/>
      <c r="D541" s="1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4"/>
      <c r="B542" s="14"/>
      <c r="C542" s="15"/>
      <c r="D542" s="1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4"/>
      <c r="B543" s="14"/>
      <c r="C543" s="15"/>
      <c r="D543" s="1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4"/>
      <c r="B544" s="14"/>
      <c r="C544" s="15"/>
      <c r="D544" s="1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4"/>
      <c r="B545" s="14"/>
      <c r="C545" s="15"/>
      <c r="D545" s="1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4"/>
      <c r="B546" s="14"/>
      <c r="C546" s="15"/>
      <c r="D546" s="1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4"/>
      <c r="B547" s="14"/>
      <c r="C547" s="15"/>
      <c r="D547" s="1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4"/>
      <c r="B548" s="14"/>
      <c r="C548" s="15"/>
      <c r="D548" s="1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4"/>
      <c r="B549" s="14"/>
      <c r="C549" s="15"/>
      <c r="D549" s="1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4"/>
      <c r="B550" s="14"/>
      <c r="C550" s="15"/>
      <c r="D550" s="1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4"/>
      <c r="B551" s="14"/>
      <c r="C551" s="15"/>
      <c r="D551" s="1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4"/>
      <c r="B552" s="14"/>
      <c r="C552" s="15"/>
      <c r="D552" s="1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4"/>
      <c r="B553" s="14"/>
      <c r="C553" s="15"/>
      <c r="D553" s="1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4"/>
      <c r="B554" s="14"/>
      <c r="C554" s="15"/>
      <c r="D554" s="1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4"/>
      <c r="B555" s="14"/>
      <c r="C555" s="15"/>
      <c r="D555" s="1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4"/>
      <c r="B556" s="14"/>
      <c r="C556" s="15"/>
      <c r="D556" s="1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4"/>
      <c r="B557" s="14"/>
      <c r="C557" s="15"/>
      <c r="D557" s="1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4"/>
      <c r="B558" s="14"/>
      <c r="C558" s="15"/>
      <c r="D558" s="1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4"/>
      <c r="B559" s="14"/>
      <c r="C559" s="15"/>
      <c r="D559" s="1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4"/>
      <c r="B560" s="14"/>
      <c r="C560" s="15"/>
      <c r="D560" s="1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4"/>
      <c r="B561" s="14"/>
      <c r="C561" s="15"/>
      <c r="D561" s="1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4"/>
      <c r="B562" s="14"/>
      <c r="C562" s="15"/>
      <c r="D562" s="1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4"/>
      <c r="B563" s="14"/>
      <c r="C563" s="15"/>
      <c r="D563" s="1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4"/>
      <c r="B564" s="14"/>
      <c r="C564" s="15"/>
      <c r="D564" s="1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4"/>
      <c r="B565" s="14"/>
      <c r="C565" s="15"/>
      <c r="D565" s="1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4"/>
      <c r="B566" s="14"/>
      <c r="C566" s="15"/>
      <c r="D566" s="1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4"/>
      <c r="B567" s="14"/>
      <c r="C567" s="15"/>
      <c r="D567" s="1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4"/>
      <c r="B568" s="14"/>
      <c r="C568" s="15"/>
      <c r="D568" s="1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4"/>
      <c r="B569" s="14"/>
      <c r="C569" s="15"/>
      <c r="D569" s="1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4"/>
      <c r="B570" s="14"/>
      <c r="C570" s="15"/>
      <c r="D570" s="1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4"/>
      <c r="B571" s="14"/>
      <c r="C571" s="15"/>
      <c r="D571" s="1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4"/>
      <c r="B572" s="14"/>
      <c r="C572" s="15"/>
      <c r="D572" s="1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4"/>
      <c r="B573" s="14"/>
      <c r="C573" s="15"/>
      <c r="D573" s="1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4"/>
      <c r="B574" s="14"/>
      <c r="C574" s="15"/>
      <c r="D574" s="1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4"/>
      <c r="B575" s="14"/>
      <c r="C575" s="15"/>
      <c r="D575" s="1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4"/>
      <c r="B576" s="14"/>
      <c r="C576" s="15"/>
      <c r="D576" s="1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4"/>
      <c r="B577" s="14"/>
      <c r="C577" s="15"/>
      <c r="D577" s="1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4"/>
      <c r="B578" s="14"/>
      <c r="C578" s="15"/>
      <c r="D578" s="1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4"/>
      <c r="B579" s="14"/>
      <c r="C579" s="15"/>
      <c r="D579" s="1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4"/>
      <c r="B580" s="14"/>
      <c r="C580" s="15"/>
      <c r="D580" s="1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4"/>
      <c r="B581" s="14"/>
      <c r="C581" s="15"/>
      <c r="D581" s="1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4"/>
      <c r="B582" s="14"/>
      <c r="C582" s="15"/>
      <c r="D582" s="1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4"/>
      <c r="B583" s="14"/>
      <c r="C583" s="15"/>
      <c r="D583" s="1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4"/>
      <c r="B584" s="14"/>
      <c r="C584" s="15"/>
      <c r="D584" s="1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4"/>
      <c r="B585" s="14"/>
      <c r="C585" s="15"/>
      <c r="D585" s="1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4"/>
      <c r="B586" s="14"/>
      <c r="C586" s="15"/>
      <c r="D586" s="1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4"/>
      <c r="B587" s="14"/>
      <c r="C587" s="15"/>
      <c r="D587" s="1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4"/>
      <c r="B588" s="14"/>
      <c r="C588" s="15"/>
      <c r="D588" s="1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4"/>
      <c r="B589" s="14"/>
      <c r="C589" s="15"/>
      <c r="D589" s="1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4"/>
      <c r="B590" s="14"/>
      <c r="C590" s="15"/>
      <c r="D590" s="1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4"/>
      <c r="B591" s="14"/>
      <c r="C591" s="15"/>
      <c r="D591" s="1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4"/>
      <c r="B592" s="14"/>
      <c r="C592" s="15"/>
      <c r="D592" s="1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4"/>
      <c r="B593" s="14"/>
      <c r="C593" s="15"/>
      <c r="D593" s="1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4"/>
      <c r="B594" s="14"/>
      <c r="C594" s="15"/>
      <c r="D594" s="1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4"/>
      <c r="B595" s="14"/>
      <c r="C595" s="15"/>
      <c r="D595" s="1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4"/>
      <c r="B596" s="14"/>
      <c r="C596" s="15"/>
      <c r="D596" s="1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4"/>
      <c r="B597" s="14"/>
      <c r="C597" s="15"/>
      <c r="D597" s="1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4"/>
      <c r="B598" s="14"/>
      <c r="C598" s="15"/>
      <c r="D598" s="16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4"/>
      <c r="B599" s="14"/>
      <c r="C599" s="15"/>
      <c r="D599" s="16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4"/>
      <c r="B600" s="14"/>
      <c r="C600" s="15"/>
      <c r="D600" s="16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4"/>
      <c r="B601" s="14"/>
      <c r="C601" s="15"/>
      <c r="D601" s="16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4"/>
      <c r="B602" s="14"/>
      <c r="C602" s="15"/>
      <c r="D602" s="16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4"/>
      <c r="B603" s="14"/>
      <c r="C603" s="15"/>
      <c r="D603" s="1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4"/>
      <c r="B604" s="14"/>
      <c r="C604" s="15"/>
      <c r="D604" s="1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4"/>
      <c r="B605" s="14"/>
      <c r="C605" s="15"/>
      <c r="D605" s="1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4"/>
      <c r="B606" s="14"/>
      <c r="C606" s="15"/>
      <c r="D606" s="1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4"/>
      <c r="B607" s="14"/>
      <c r="C607" s="15"/>
      <c r="D607" s="1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4"/>
      <c r="B608" s="14"/>
      <c r="C608" s="15"/>
      <c r="D608" s="1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4"/>
      <c r="B609" s="14"/>
      <c r="C609" s="15"/>
      <c r="D609" s="1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4"/>
      <c r="B610" s="14"/>
      <c r="C610" s="15"/>
      <c r="D610" s="1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4"/>
      <c r="B611" s="14"/>
      <c r="C611" s="15"/>
      <c r="D611" s="1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4"/>
      <c r="B612" s="14"/>
      <c r="C612" s="15"/>
      <c r="D612" s="1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4"/>
      <c r="B613" s="14"/>
      <c r="C613" s="15"/>
      <c r="D613" s="1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4"/>
      <c r="B614" s="14"/>
      <c r="C614" s="15"/>
      <c r="D614" s="1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4"/>
      <c r="B615" s="14"/>
      <c r="C615" s="15"/>
      <c r="D615" s="1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4"/>
      <c r="B616" s="14"/>
      <c r="C616" s="15"/>
      <c r="D616" s="1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4"/>
      <c r="B617" s="14"/>
      <c r="C617" s="15"/>
      <c r="D617" s="1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4"/>
      <c r="B618" s="14"/>
      <c r="C618" s="15"/>
      <c r="D618" s="1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4"/>
      <c r="B619" s="14"/>
      <c r="C619" s="15"/>
      <c r="D619" s="1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4"/>
      <c r="B620" s="14"/>
      <c r="C620" s="15"/>
      <c r="D620" s="1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4"/>
      <c r="B621" s="14"/>
      <c r="C621" s="15"/>
      <c r="D621" s="1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4"/>
      <c r="B622" s="14"/>
      <c r="C622" s="15"/>
      <c r="D622" s="1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4"/>
      <c r="B623" s="14"/>
      <c r="C623" s="15"/>
      <c r="D623" s="1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4"/>
      <c r="B624" s="14"/>
      <c r="C624" s="15"/>
      <c r="D624" s="1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4"/>
      <c r="B625" s="14"/>
      <c r="C625" s="15"/>
      <c r="D625" s="1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4"/>
      <c r="B626" s="14"/>
      <c r="C626" s="15"/>
      <c r="D626" s="1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4"/>
      <c r="B627" s="14"/>
      <c r="C627" s="15"/>
      <c r="D627" s="1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4"/>
      <c r="B628" s="14"/>
      <c r="C628" s="15"/>
      <c r="D628" s="1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4"/>
      <c r="B629" s="14"/>
      <c r="C629" s="15"/>
      <c r="D629" s="1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4"/>
      <c r="B630" s="14"/>
      <c r="C630" s="15"/>
      <c r="D630" s="1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4"/>
      <c r="B631" s="14"/>
      <c r="C631" s="15"/>
      <c r="D631" s="1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4"/>
      <c r="B632" s="14"/>
      <c r="C632" s="15"/>
      <c r="D632" s="1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4"/>
      <c r="B633" s="14"/>
      <c r="C633" s="15"/>
      <c r="D633" s="1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4"/>
      <c r="B634" s="14"/>
      <c r="C634" s="15"/>
      <c r="D634" s="1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4"/>
      <c r="B635" s="14"/>
      <c r="C635" s="15"/>
      <c r="D635" s="1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4"/>
      <c r="B636" s="14"/>
      <c r="C636" s="15"/>
      <c r="D636" s="1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4"/>
      <c r="B637" s="14"/>
      <c r="C637" s="15"/>
      <c r="D637" s="1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4"/>
      <c r="B638" s="14"/>
      <c r="C638" s="15"/>
      <c r="D638" s="1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4"/>
      <c r="B639" s="14"/>
      <c r="C639" s="15"/>
      <c r="D639" s="1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4"/>
      <c r="B640" s="14"/>
      <c r="C640" s="15"/>
      <c r="D640" s="1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4"/>
      <c r="B641" s="14"/>
      <c r="C641" s="15"/>
      <c r="D641" s="1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4"/>
      <c r="B642" s="14"/>
      <c r="C642" s="15"/>
      <c r="D642" s="1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4"/>
      <c r="B643" s="14"/>
      <c r="C643" s="15"/>
      <c r="D643" s="1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4"/>
      <c r="B644" s="14"/>
      <c r="C644" s="15"/>
      <c r="D644" s="1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4"/>
      <c r="B645" s="14"/>
      <c r="C645" s="15"/>
      <c r="D645" s="1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4"/>
      <c r="B646" s="14"/>
      <c r="C646" s="15"/>
      <c r="D646" s="1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4"/>
      <c r="B647" s="14"/>
      <c r="C647" s="15"/>
      <c r="D647" s="1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4"/>
      <c r="B648" s="14"/>
      <c r="C648" s="15"/>
      <c r="D648" s="1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4"/>
      <c r="B649" s="14"/>
      <c r="C649" s="15"/>
      <c r="D649" s="1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4"/>
      <c r="B650" s="14"/>
      <c r="C650" s="15"/>
      <c r="D650" s="1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4"/>
      <c r="B651" s="14"/>
      <c r="C651" s="15"/>
      <c r="D651" s="1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4"/>
      <c r="B652" s="14"/>
      <c r="C652" s="15"/>
      <c r="D652" s="1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4"/>
      <c r="B653" s="14"/>
      <c r="C653" s="15"/>
      <c r="D653" s="1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4"/>
      <c r="B654" s="14"/>
      <c r="C654" s="15"/>
      <c r="D654" s="1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4"/>
      <c r="B655" s="14"/>
      <c r="C655" s="15"/>
      <c r="D655" s="1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4"/>
      <c r="B656" s="14"/>
      <c r="C656" s="15"/>
      <c r="D656" s="1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4"/>
      <c r="B657" s="14"/>
      <c r="C657" s="15"/>
      <c r="D657" s="1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4"/>
      <c r="B658" s="14"/>
      <c r="C658" s="15"/>
      <c r="D658" s="1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4"/>
      <c r="B659" s="14"/>
      <c r="C659" s="15"/>
      <c r="D659" s="1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4"/>
      <c r="B660" s="14"/>
      <c r="C660" s="15"/>
      <c r="D660" s="1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4"/>
      <c r="B661" s="14"/>
      <c r="C661" s="15"/>
      <c r="D661" s="1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4"/>
      <c r="B662" s="14"/>
      <c r="C662" s="15"/>
      <c r="D662" s="1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4"/>
      <c r="B663" s="14"/>
      <c r="C663" s="15"/>
      <c r="D663" s="1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4"/>
      <c r="B664" s="14"/>
      <c r="C664" s="15"/>
      <c r="D664" s="1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4"/>
      <c r="B665" s="14"/>
      <c r="C665" s="15"/>
      <c r="D665" s="1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4"/>
      <c r="B666" s="14"/>
      <c r="C666" s="15"/>
      <c r="D666" s="1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4"/>
      <c r="B667" s="14"/>
      <c r="C667" s="15"/>
      <c r="D667" s="1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4"/>
      <c r="B668" s="14"/>
      <c r="C668" s="15"/>
      <c r="D668" s="1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4"/>
      <c r="B669" s="14"/>
      <c r="C669" s="15"/>
      <c r="D669" s="1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4"/>
      <c r="B670" s="14"/>
      <c r="C670" s="15"/>
      <c r="D670" s="1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4"/>
      <c r="B671" s="14"/>
      <c r="C671" s="15"/>
      <c r="D671" s="1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4"/>
      <c r="B672" s="14"/>
      <c r="C672" s="15"/>
      <c r="D672" s="1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4"/>
      <c r="B673" s="14"/>
      <c r="C673" s="15"/>
      <c r="D673" s="1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4"/>
      <c r="B674" s="14"/>
      <c r="C674" s="15"/>
      <c r="D674" s="1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4"/>
      <c r="B675" s="14"/>
      <c r="C675" s="15"/>
      <c r="D675" s="1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4"/>
      <c r="B676" s="14"/>
      <c r="C676" s="15"/>
      <c r="D676" s="1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4"/>
      <c r="B677" s="14"/>
      <c r="C677" s="15"/>
      <c r="D677" s="1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4"/>
      <c r="B678" s="14"/>
      <c r="C678" s="15"/>
      <c r="D678" s="1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4"/>
      <c r="B679" s="14"/>
      <c r="C679" s="15"/>
      <c r="D679" s="1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4"/>
      <c r="B680" s="14"/>
      <c r="C680" s="15"/>
      <c r="D680" s="1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4"/>
      <c r="B681" s="14"/>
      <c r="C681" s="15"/>
      <c r="D681" s="1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4"/>
      <c r="B682" s="14"/>
      <c r="C682" s="15"/>
      <c r="D682" s="1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4"/>
      <c r="B683" s="14"/>
      <c r="C683" s="15"/>
      <c r="D683" s="1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4"/>
      <c r="B684" s="14"/>
      <c r="C684" s="15"/>
      <c r="D684" s="1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4"/>
      <c r="B685" s="14"/>
      <c r="C685" s="15"/>
      <c r="D685" s="1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4"/>
      <c r="B686" s="14"/>
      <c r="C686" s="15"/>
      <c r="D686" s="1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4"/>
      <c r="B687" s="14"/>
      <c r="C687" s="15"/>
      <c r="D687" s="1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4"/>
      <c r="B688" s="14"/>
      <c r="C688" s="15"/>
      <c r="D688" s="1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4"/>
      <c r="B689" s="14"/>
      <c r="C689" s="15"/>
      <c r="D689" s="1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4"/>
      <c r="B690" s="14"/>
      <c r="C690" s="15"/>
      <c r="D690" s="1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4"/>
      <c r="B691" s="14"/>
      <c r="C691" s="15"/>
      <c r="D691" s="1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4"/>
      <c r="B692" s="14"/>
      <c r="C692" s="15"/>
      <c r="D692" s="1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4"/>
      <c r="B693" s="14"/>
      <c r="C693" s="15"/>
      <c r="D693" s="1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4"/>
      <c r="B694" s="14"/>
      <c r="C694" s="15"/>
      <c r="D694" s="1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4"/>
      <c r="B695" s="14"/>
      <c r="C695" s="15"/>
      <c r="D695" s="1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4"/>
      <c r="B696" s="14"/>
      <c r="C696" s="15"/>
      <c r="D696" s="1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4"/>
      <c r="B697" s="14"/>
      <c r="C697" s="15"/>
      <c r="D697" s="1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4"/>
      <c r="B698" s="14"/>
      <c r="C698" s="15"/>
      <c r="D698" s="1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4"/>
      <c r="B699" s="14"/>
      <c r="C699" s="15"/>
      <c r="D699" s="1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4"/>
      <c r="B700" s="14"/>
      <c r="C700" s="15"/>
      <c r="D700" s="1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4"/>
      <c r="B701" s="14"/>
      <c r="C701" s="15"/>
      <c r="D701" s="1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4"/>
      <c r="B702" s="14"/>
      <c r="C702" s="15"/>
      <c r="D702" s="1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4"/>
      <c r="B703" s="14"/>
      <c r="C703" s="15"/>
      <c r="D703" s="1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4"/>
      <c r="B704" s="14"/>
      <c r="C704" s="15"/>
      <c r="D704" s="1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4"/>
      <c r="B705" s="14"/>
      <c r="C705" s="15"/>
      <c r="D705" s="1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4"/>
      <c r="B706" s="14"/>
      <c r="C706" s="15"/>
      <c r="D706" s="1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4"/>
      <c r="B707" s="14"/>
      <c r="C707" s="15"/>
      <c r="D707" s="1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4"/>
      <c r="B708" s="14"/>
      <c r="C708" s="15"/>
      <c r="D708" s="1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4"/>
      <c r="B709" s="14"/>
      <c r="C709" s="15"/>
      <c r="D709" s="1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4"/>
      <c r="B710" s="14"/>
      <c r="C710" s="15"/>
      <c r="D710" s="1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4"/>
      <c r="B711" s="14"/>
      <c r="C711" s="15"/>
      <c r="D711" s="1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4"/>
      <c r="B712" s="14"/>
      <c r="C712" s="15"/>
      <c r="D712" s="1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4"/>
      <c r="B713" s="14"/>
      <c r="C713" s="15"/>
      <c r="D713" s="1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4"/>
      <c r="B714" s="14"/>
      <c r="C714" s="15"/>
      <c r="D714" s="1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4"/>
      <c r="B715" s="14"/>
      <c r="C715" s="15"/>
      <c r="D715" s="1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4"/>
      <c r="B716" s="14"/>
      <c r="C716" s="15"/>
      <c r="D716" s="1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4"/>
      <c r="B717" s="14"/>
      <c r="C717" s="15"/>
      <c r="D717" s="1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4"/>
      <c r="B718" s="14"/>
      <c r="C718" s="15"/>
      <c r="D718" s="1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4"/>
      <c r="B719" s="14"/>
      <c r="C719" s="15"/>
      <c r="D719" s="1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4"/>
      <c r="B720" s="14"/>
      <c r="C720" s="15"/>
      <c r="D720" s="1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4"/>
      <c r="B721" s="14"/>
      <c r="C721" s="15"/>
      <c r="D721" s="1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4"/>
      <c r="B722" s="14"/>
      <c r="C722" s="15"/>
      <c r="D722" s="1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4"/>
      <c r="B723" s="14"/>
      <c r="C723" s="15"/>
      <c r="D723" s="1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4"/>
      <c r="B724" s="14"/>
      <c r="C724" s="15"/>
      <c r="D724" s="1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4"/>
      <c r="B725" s="14"/>
      <c r="C725" s="15"/>
      <c r="D725" s="1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4"/>
      <c r="B726" s="14"/>
      <c r="C726" s="15"/>
      <c r="D726" s="1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4"/>
      <c r="B727" s="14"/>
      <c r="C727" s="15"/>
      <c r="D727" s="1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4"/>
      <c r="B728" s="14"/>
      <c r="C728" s="15"/>
      <c r="D728" s="1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4"/>
      <c r="B729" s="14"/>
      <c r="C729" s="15"/>
      <c r="D729" s="1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4"/>
      <c r="B730" s="14"/>
      <c r="C730" s="15"/>
      <c r="D730" s="1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4"/>
      <c r="B731" s="14"/>
      <c r="C731" s="15"/>
      <c r="D731" s="1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4"/>
      <c r="B732" s="14"/>
      <c r="C732" s="15"/>
      <c r="D732" s="1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4"/>
      <c r="B733" s="14"/>
      <c r="C733" s="15"/>
      <c r="D733" s="1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4"/>
      <c r="B734" s="14"/>
      <c r="C734" s="15"/>
      <c r="D734" s="1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4"/>
      <c r="B735" s="14"/>
      <c r="C735" s="15"/>
      <c r="D735" s="1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4"/>
      <c r="B736" s="14"/>
      <c r="C736" s="15"/>
      <c r="D736" s="1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4"/>
      <c r="B737" s="14"/>
      <c r="C737" s="15"/>
      <c r="D737" s="1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4"/>
      <c r="B738" s="14"/>
      <c r="C738" s="15"/>
      <c r="D738" s="1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4"/>
      <c r="B739" s="14"/>
      <c r="C739" s="15"/>
      <c r="D739" s="1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4"/>
      <c r="B740" s="14"/>
      <c r="C740" s="15"/>
      <c r="D740" s="1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4"/>
      <c r="B741" s="14"/>
      <c r="C741" s="15"/>
      <c r="D741" s="1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4"/>
      <c r="B742" s="14"/>
      <c r="C742" s="15"/>
      <c r="D742" s="1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4"/>
      <c r="B743" s="14"/>
      <c r="C743" s="15"/>
      <c r="D743" s="1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4"/>
      <c r="B744" s="14"/>
      <c r="C744" s="15"/>
      <c r="D744" s="1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4"/>
      <c r="B745" s="14"/>
      <c r="C745" s="15"/>
      <c r="D745" s="1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4"/>
      <c r="B746" s="14"/>
      <c r="C746" s="15"/>
      <c r="D746" s="1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4"/>
      <c r="B747" s="14"/>
      <c r="C747" s="15"/>
      <c r="D747" s="1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4"/>
      <c r="B748" s="14"/>
      <c r="C748" s="15"/>
      <c r="D748" s="1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4"/>
      <c r="B749" s="14"/>
      <c r="C749" s="15"/>
      <c r="D749" s="1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4"/>
      <c r="B750" s="14"/>
      <c r="C750" s="15"/>
      <c r="D750" s="1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4"/>
      <c r="B751" s="14"/>
      <c r="C751" s="15"/>
      <c r="D751" s="1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4"/>
      <c r="B752" s="14"/>
      <c r="C752" s="15"/>
      <c r="D752" s="1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4"/>
      <c r="B753" s="14"/>
      <c r="C753" s="15"/>
      <c r="D753" s="1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4"/>
      <c r="B754" s="14"/>
      <c r="C754" s="15"/>
      <c r="D754" s="1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4"/>
      <c r="B755" s="14"/>
      <c r="C755" s="15"/>
      <c r="D755" s="1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4"/>
      <c r="B756" s="14"/>
      <c r="C756" s="15"/>
      <c r="D756" s="1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4"/>
      <c r="B757" s="14"/>
      <c r="C757" s="15"/>
      <c r="D757" s="1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4"/>
      <c r="B758" s="14"/>
      <c r="C758" s="15"/>
      <c r="D758" s="1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4"/>
      <c r="B759" s="14"/>
      <c r="C759" s="15"/>
      <c r="D759" s="1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4"/>
      <c r="B760" s="14"/>
      <c r="C760" s="15"/>
      <c r="D760" s="1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4"/>
      <c r="B761" s="14"/>
      <c r="C761" s="15"/>
      <c r="D761" s="1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4"/>
      <c r="B762" s="14"/>
      <c r="C762" s="15"/>
      <c r="D762" s="1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4"/>
      <c r="B763" s="14"/>
      <c r="C763" s="15"/>
      <c r="D763" s="1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4"/>
      <c r="B764" s="14"/>
      <c r="C764" s="15"/>
      <c r="D764" s="1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4"/>
      <c r="B765" s="14"/>
      <c r="C765" s="15"/>
      <c r="D765" s="1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4"/>
      <c r="B766" s="14"/>
      <c r="C766" s="15"/>
      <c r="D766" s="1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4"/>
      <c r="B767" s="14"/>
      <c r="C767" s="15"/>
      <c r="D767" s="1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4"/>
      <c r="B768" s="14"/>
      <c r="C768" s="15"/>
      <c r="D768" s="1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4"/>
      <c r="B769" s="14"/>
      <c r="C769" s="15"/>
      <c r="D769" s="1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4"/>
      <c r="B770" s="14"/>
      <c r="C770" s="15"/>
      <c r="D770" s="1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4"/>
      <c r="B771" s="14"/>
      <c r="C771" s="15"/>
      <c r="D771" s="1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4"/>
      <c r="B772" s="14"/>
      <c r="C772" s="15"/>
      <c r="D772" s="1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4"/>
      <c r="B773" s="14"/>
      <c r="C773" s="15"/>
      <c r="D773" s="1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4"/>
      <c r="B774" s="14"/>
      <c r="C774" s="15"/>
      <c r="D774" s="1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4"/>
      <c r="B775" s="14"/>
      <c r="C775" s="15"/>
      <c r="D775" s="1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4"/>
      <c r="B776" s="14"/>
      <c r="C776" s="15"/>
      <c r="D776" s="1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4"/>
      <c r="B777" s="14"/>
      <c r="C777" s="15"/>
      <c r="D777" s="1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4"/>
      <c r="B778" s="14"/>
      <c r="C778" s="15"/>
      <c r="D778" s="1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4"/>
      <c r="B779" s="14"/>
      <c r="C779" s="15"/>
      <c r="D779" s="1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4"/>
      <c r="B780" s="14"/>
      <c r="C780" s="15"/>
      <c r="D780" s="1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4"/>
      <c r="B781" s="14"/>
      <c r="C781" s="15"/>
      <c r="D781" s="1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4"/>
      <c r="B782" s="14"/>
      <c r="C782" s="15"/>
      <c r="D782" s="1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4"/>
      <c r="B783" s="14"/>
      <c r="C783" s="15"/>
      <c r="D783" s="1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4"/>
      <c r="B784" s="14"/>
      <c r="C784" s="15"/>
      <c r="D784" s="1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4"/>
      <c r="B785" s="14"/>
      <c r="C785" s="15"/>
      <c r="D785" s="1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4"/>
      <c r="B786" s="14"/>
      <c r="C786" s="15"/>
      <c r="D786" s="1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4"/>
      <c r="B787" s="14"/>
      <c r="C787" s="15"/>
      <c r="D787" s="1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4"/>
      <c r="B788" s="14"/>
      <c r="C788" s="15"/>
      <c r="D788" s="1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4"/>
      <c r="B789" s="14"/>
      <c r="C789" s="15"/>
      <c r="D789" s="1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4"/>
      <c r="B790" s="14"/>
      <c r="C790" s="15"/>
      <c r="D790" s="1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4"/>
      <c r="B791" s="14"/>
      <c r="C791" s="15"/>
      <c r="D791" s="1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4"/>
      <c r="B792" s="14"/>
      <c r="C792" s="15"/>
      <c r="D792" s="1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4"/>
      <c r="B793" s="14"/>
      <c r="C793" s="15"/>
      <c r="D793" s="1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4"/>
      <c r="B794" s="14"/>
      <c r="C794" s="15"/>
      <c r="D794" s="1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4"/>
      <c r="B795" s="14"/>
      <c r="C795" s="15"/>
      <c r="D795" s="1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4"/>
      <c r="B796" s="14"/>
      <c r="C796" s="15"/>
      <c r="D796" s="1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4"/>
      <c r="B797" s="14"/>
      <c r="C797" s="15"/>
      <c r="D797" s="1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4"/>
      <c r="B798" s="14"/>
      <c r="C798" s="15"/>
      <c r="D798" s="16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4"/>
      <c r="B799" s="14"/>
      <c r="C799" s="15"/>
      <c r="D799" s="16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4"/>
      <c r="B800" s="14"/>
      <c r="C800" s="15"/>
      <c r="D800" s="16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4"/>
      <c r="B801" s="14"/>
      <c r="C801" s="15"/>
      <c r="D801" s="16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4"/>
      <c r="B802" s="14"/>
      <c r="C802" s="15"/>
      <c r="D802" s="16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4"/>
      <c r="B803" s="14"/>
      <c r="C803" s="15"/>
      <c r="D803" s="1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4"/>
      <c r="B804" s="14"/>
      <c r="C804" s="15"/>
      <c r="D804" s="1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4"/>
      <c r="B805" s="14"/>
      <c r="C805" s="15"/>
      <c r="D805" s="1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4"/>
      <c r="B806" s="14"/>
      <c r="C806" s="15"/>
      <c r="D806" s="1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4"/>
      <c r="B807" s="14"/>
      <c r="C807" s="15"/>
      <c r="D807" s="1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4"/>
      <c r="B808" s="14"/>
      <c r="C808" s="15"/>
      <c r="D808" s="1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4"/>
      <c r="B809" s="14"/>
      <c r="C809" s="15"/>
      <c r="D809" s="1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4"/>
      <c r="B810" s="14"/>
      <c r="C810" s="15"/>
      <c r="D810" s="1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4"/>
      <c r="B811" s="14"/>
      <c r="C811" s="15"/>
      <c r="D811" s="1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4"/>
      <c r="B812" s="14"/>
      <c r="C812" s="15"/>
      <c r="D812" s="1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4"/>
      <c r="B813" s="14"/>
      <c r="C813" s="15"/>
      <c r="D813" s="1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4"/>
      <c r="B814" s="14"/>
      <c r="C814" s="15"/>
      <c r="D814" s="1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4"/>
      <c r="B815" s="14"/>
      <c r="C815" s="15"/>
      <c r="D815" s="1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4"/>
      <c r="B816" s="14"/>
      <c r="C816" s="15"/>
      <c r="D816" s="1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4"/>
      <c r="B817" s="14"/>
      <c r="C817" s="15"/>
      <c r="D817" s="1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4"/>
      <c r="B818" s="14"/>
      <c r="C818" s="15"/>
      <c r="D818" s="1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4"/>
      <c r="B819" s="14"/>
      <c r="C819" s="15"/>
      <c r="D819" s="1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4"/>
      <c r="B820" s="14"/>
      <c r="C820" s="15"/>
      <c r="D820" s="1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4"/>
      <c r="B821" s="14"/>
      <c r="C821" s="15"/>
      <c r="D821" s="1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4"/>
      <c r="B822" s="14"/>
      <c r="C822" s="15"/>
      <c r="D822" s="1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4"/>
      <c r="B823" s="14"/>
      <c r="C823" s="15"/>
      <c r="D823" s="1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4"/>
      <c r="B824" s="14"/>
      <c r="C824" s="15"/>
      <c r="D824" s="1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4"/>
      <c r="B825" s="14"/>
      <c r="C825" s="15"/>
      <c r="D825" s="1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4"/>
      <c r="B826" s="14"/>
      <c r="C826" s="15"/>
      <c r="D826" s="1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4"/>
      <c r="B827" s="14"/>
      <c r="C827" s="15"/>
      <c r="D827" s="1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4"/>
      <c r="B828" s="14"/>
      <c r="C828" s="15"/>
      <c r="D828" s="1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4"/>
      <c r="B829" s="14"/>
      <c r="C829" s="15"/>
      <c r="D829" s="1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4"/>
      <c r="B830" s="14"/>
      <c r="C830" s="15"/>
      <c r="D830" s="1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4"/>
      <c r="B831" s="14"/>
      <c r="C831" s="15"/>
      <c r="D831" s="1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4"/>
      <c r="B832" s="14"/>
      <c r="C832" s="15"/>
      <c r="D832" s="1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4"/>
      <c r="B833" s="14"/>
      <c r="C833" s="15"/>
      <c r="D833" s="1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4"/>
      <c r="B834" s="14"/>
      <c r="C834" s="15"/>
      <c r="D834" s="1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4"/>
      <c r="B835" s="14"/>
      <c r="C835" s="15"/>
      <c r="D835" s="1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4"/>
      <c r="B836" s="14"/>
      <c r="C836" s="15"/>
      <c r="D836" s="1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4"/>
      <c r="B837" s="14"/>
      <c r="C837" s="15"/>
      <c r="D837" s="1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4"/>
      <c r="B838" s="14"/>
      <c r="C838" s="15"/>
      <c r="D838" s="1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4"/>
      <c r="B839" s="14"/>
      <c r="C839" s="15"/>
      <c r="D839" s="1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4"/>
      <c r="B840" s="14"/>
      <c r="C840" s="15"/>
      <c r="D840" s="1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4"/>
      <c r="B841" s="14"/>
      <c r="C841" s="15"/>
      <c r="D841" s="1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4"/>
      <c r="B842" s="14"/>
      <c r="C842" s="15"/>
      <c r="D842" s="1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4"/>
      <c r="B843" s="14"/>
      <c r="C843" s="15"/>
      <c r="D843" s="1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4"/>
      <c r="B844" s="14"/>
      <c r="C844" s="15"/>
      <c r="D844" s="1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4"/>
      <c r="B845" s="14"/>
      <c r="C845" s="15"/>
      <c r="D845" s="1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4"/>
      <c r="B846" s="14"/>
      <c r="C846" s="15"/>
      <c r="D846" s="1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4"/>
      <c r="B847" s="14"/>
      <c r="C847" s="15"/>
      <c r="D847" s="1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4"/>
      <c r="B848" s="14"/>
      <c r="C848" s="15"/>
      <c r="D848" s="1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4"/>
      <c r="B849" s="14"/>
      <c r="C849" s="15"/>
      <c r="D849" s="1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4"/>
      <c r="B850" s="14"/>
      <c r="C850" s="15"/>
      <c r="D850" s="1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4"/>
      <c r="B851" s="14"/>
      <c r="C851" s="15"/>
      <c r="D851" s="1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4"/>
      <c r="B852" s="14"/>
      <c r="C852" s="15"/>
      <c r="D852" s="1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4"/>
      <c r="B853" s="14"/>
      <c r="C853" s="15"/>
      <c r="D853" s="1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4"/>
      <c r="B854" s="14"/>
      <c r="C854" s="15"/>
      <c r="D854" s="1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4"/>
      <c r="B855" s="14"/>
      <c r="C855" s="15"/>
      <c r="D855" s="1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4"/>
      <c r="B856" s="14"/>
      <c r="C856" s="15"/>
      <c r="D856" s="1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4"/>
      <c r="B857" s="14"/>
      <c r="C857" s="15"/>
      <c r="D857" s="1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4"/>
      <c r="B858" s="14"/>
      <c r="C858" s="15"/>
      <c r="D858" s="1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4"/>
      <c r="B859" s="14"/>
      <c r="C859" s="15"/>
      <c r="D859" s="1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4"/>
      <c r="B860" s="14"/>
      <c r="C860" s="15"/>
      <c r="D860" s="1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4"/>
      <c r="B861" s="14"/>
      <c r="C861" s="15"/>
      <c r="D861" s="1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4"/>
      <c r="B862" s="14"/>
      <c r="C862" s="15"/>
      <c r="D862" s="1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4"/>
      <c r="B863" s="14"/>
      <c r="C863" s="15"/>
      <c r="D863" s="1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4"/>
      <c r="B864" s="14"/>
      <c r="C864" s="15"/>
      <c r="D864" s="1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4"/>
      <c r="B865" s="14"/>
      <c r="C865" s="15"/>
      <c r="D865" s="1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4"/>
      <c r="B866" s="14"/>
      <c r="C866" s="15"/>
      <c r="D866" s="1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4"/>
      <c r="B867" s="14"/>
      <c r="C867" s="15"/>
      <c r="D867" s="1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4"/>
      <c r="B868" s="14"/>
      <c r="C868" s="15"/>
      <c r="D868" s="1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4"/>
      <c r="B869" s="14"/>
      <c r="C869" s="15"/>
      <c r="D869" s="1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4"/>
      <c r="B870" s="14"/>
      <c r="C870" s="15"/>
      <c r="D870" s="1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4"/>
      <c r="B871" s="14"/>
      <c r="C871" s="15"/>
      <c r="D871" s="1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4"/>
      <c r="B872" s="14"/>
      <c r="C872" s="15"/>
      <c r="D872" s="1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4"/>
      <c r="B873" s="14"/>
      <c r="C873" s="15"/>
      <c r="D873" s="1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4"/>
      <c r="B874" s="14"/>
      <c r="C874" s="15"/>
      <c r="D874" s="1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4"/>
      <c r="B875" s="14"/>
      <c r="C875" s="15"/>
      <c r="D875" s="1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4"/>
      <c r="B876" s="14"/>
      <c r="C876" s="15"/>
      <c r="D876" s="1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4"/>
      <c r="B877" s="14"/>
      <c r="C877" s="15"/>
      <c r="D877" s="1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4"/>
      <c r="B878" s="14"/>
      <c r="C878" s="15"/>
      <c r="D878" s="1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4"/>
      <c r="B879" s="14"/>
      <c r="C879" s="15"/>
      <c r="D879" s="1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4"/>
      <c r="B880" s="14"/>
      <c r="C880" s="15"/>
      <c r="D880" s="1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4"/>
      <c r="B881" s="14"/>
      <c r="C881" s="15"/>
      <c r="D881" s="1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4"/>
      <c r="B882" s="14"/>
      <c r="C882" s="15"/>
      <c r="D882" s="1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4"/>
      <c r="B883" s="14"/>
      <c r="C883" s="15"/>
      <c r="D883" s="1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4"/>
      <c r="B884" s="14"/>
      <c r="C884" s="15"/>
      <c r="D884" s="1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4"/>
      <c r="B885" s="14"/>
      <c r="C885" s="15"/>
      <c r="D885" s="1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4"/>
      <c r="B886" s="14"/>
      <c r="C886" s="15"/>
      <c r="D886" s="1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4"/>
      <c r="B887" s="14"/>
      <c r="C887" s="15"/>
      <c r="D887" s="1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4"/>
      <c r="B888" s="14"/>
      <c r="C888" s="15"/>
      <c r="D888" s="1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4"/>
      <c r="B889" s="14"/>
      <c r="C889" s="15"/>
      <c r="D889" s="1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4"/>
      <c r="B890" s="14"/>
      <c r="C890" s="15"/>
      <c r="D890" s="1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4"/>
      <c r="B891" s="14"/>
      <c r="C891" s="15"/>
      <c r="D891" s="1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4"/>
      <c r="B892" s="14"/>
      <c r="C892" s="15"/>
      <c r="D892" s="1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4"/>
      <c r="B893" s="14"/>
      <c r="C893" s="15"/>
      <c r="D893" s="1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4"/>
      <c r="B894" s="14"/>
      <c r="C894" s="15"/>
      <c r="D894" s="1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4"/>
      <c r="B895" s="14"/>
      <c r="C895" s="15"/>
      <c r="D895" s="1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4"/>
      <c r="B896" s="14"/>
      <c r="C896" s="15"/>
      <c r="D896" s="1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4"/>
      <c r="B897" s="14"/>
      <c r="C897" s="15"/>
      <c r="D897" s="1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4"/>
      <c r="B898" s="14"/>
      <c r="C898" s="15"/>
      <c r="D898" s="1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4"/>
      <c r="B899" s="14"/>
      <c r="C899" s="15"/>
      <c r="D899" s="1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4"/>
      <c r="B900" s="14"/>
      <c r="C900" s="15"/>
      <c r="D900" s="1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4"/>
      <c r="B901" s="14"/>
      <c r="C901" s="15"/>
      <c r="D901" s="1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4"/>
      <c r="B902" s="14"/>
      <c r="C902" s="15"/>
      <c r="D902" s="1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4"/>
      <c r="B903" s="14"/>
      <c r="C903" s="15"/>
      <c r="D903" s="1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4"/>
      <c r="B904" s="14"/>
      <c r="C904" s="15"/>
      <c r="D904" s="1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4"/>
      <c r="B905" s="14"/>
      <c r="C905" s="15"/>
      <c r="D905" s="1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4"/>
      <c r="B906" s="14"/>
      <c r="C906" s="15"/>
      <c r="D906" s="1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4"/>
      <c r="B907" s="14"/>
      <c r="C907" s="15"/>
      <c r="D907" s="1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4"/>
      <c r="B908" s="14"/>
      <c r="C908" s="15"/>
      <c r="D908" s="1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4"/>
      <c r="B909" s="14"/>
      <c r="C909" s="15"/>
      <c r="D909" s="1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4"/>
      <c r="B910" s="14"/>
      <c r="C910" s="15"/>
      <c r="D910" s="1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4"/>
      <c r="B911" s="14"/>
      <c r="C911" s="15"/>
      <c r="D911" s="1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4"/>
      <c r="B912" s="14"/>
      <c r="C912" s="15"/>
      <c r="D912" s="1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4"/>
      <c r="B913" s="14"/>
      <c r="C913" s="15"/>
      <c r="D913" s="1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4"/>
      <c r="B914" s="14"/>
      <c r="C914" s="15"/>
      <c r="D914" s="1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4"/>
      <c r="B915" s="14"/>
      <c r="C915" s="15"/>
      <c r="D915" s="1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4"/>
      <c r="B916" s="14"/>
      <c r="C916" s="15"/>
      <c r="D916" s="1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4"/>
      <c r="B917" s="14"/>
      <c r="C917" s="15"/>
      <c r="D917" s="1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4"/>
      <c r="B918" s="14"/>
      <c r="C918" s="15"/>
      <c r="D918" s="1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4"/>
      <c r="B919" s="14"/>
      <c r="C919" s="15"/>
      <c r="D919" s="1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4"/>
      <c r="B920" s="14"/>
      <c r="C920" s="15"/>
      <c r="D920" s="1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4"/>
      <c r="B921" s="14"/>
      <c r="C921" s="15"/>
      <c r="D921" s="1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4"/>
      <c r="B922" s="14"/>
      <c r="C922" s="15"/>
      <c r="D922" s="1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4"/>
      <c r="B923" s="14"/>
      <c r="C923" s="15"/>
      <c r="D923" s="1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4"/>
      <c r="B924" s="14"/>
      <c r="C924" s="15"/>
      <c r="D924" s="1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4"/>
      <c r="B925" s="14"/>
      <c r="C925" s="15"/>
      <c r="D925" s="1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4"/>
      <c r="B926" s="14"/>
      <c r="C926" s="15"/>
      <c r="D926" s="1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4"/>
      <c r="B927" s="14"/>
      <c r="C927" s="15"/>
      <c r="D927" s="1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4"/>
      <c r="B928" s="14"/>
      <c r="C928" s="15"/>
      <c r="D928" s="1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4"/>
      <c r="B929" s="14"/>
      <c r="C929" s="15"/>
      <c r="D929" s="1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4"/>
      <c r="B930" s="14"/>
      <c r="C930" s="15"/>
      <c r="D930" s="1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4"/>
      <c r="B931" s="14"/>
      <c r="C931" s="15"/>
      <c r="D931" s="1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4"/>
      <c r="B932" s="14"/>
      <c r="C932" s="15"/>
      <c r="D932" s="1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4"/>
      <c r="B933" s="14"/>
      <c r="C933" s="15"/>
      <c r="D933" s="1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4"/>
      <c r="B934" s="14"/>
      <c r="C934" s="15"/>
      <c r="D934" s="1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4"/>
      <c r="B935" s="14"/>
      <c r="C935" s="15"/>
      <c r="D935" s="1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4"/>
      <c r="B936" s="14"/>
      <c r="C936" s="15"/>
      <c r="D936" s="1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4"/>
      <c r="B937" s="14"/>
      <c r="C937" s="15"/>
      <c r="D937" s="1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4"/>
      <c r="B938" s="14"/>
      <c r="C938" s="15"/>
      <c r="D938" s="1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4"/>
      <c r="B939" s="14"/>
      <c r="C939" s="15"/>
      <c r="D939" s="1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4"/>
      <c r="B940" s="14"/>
      <c r="C940" s="15"/>
      <c r="D940" s="1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4"/>
      <c r="B941" s="14"/>
      <c r="C941" s="15"/>
      <c r="D941" s="1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4"/>
      <c r="B942" s="14"/>
      <c r="C942" s="15"/>
      <c r="D942" s="1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4"/>
      <c r="B943" s="14"/>
      <c r="C943" s="15"/>
      <c r="D943" s="1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4"/>
      <c r="B944" s="14"/>
      <c r="C944" s="15"/>
      <c r="D944" s="1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4"/>
      <c r="B945" s="14"/>
      <c r="C945" s="15"/>
      <c r="D945" s="1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4"/>
      <c r="B946" s="14"/>
      <c r="C946" s="15"/>
      <c r="D946" s="1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4"/>
      <c r="B947" s="14"/>
      <c r="C947" s="15"/>
      <c r="D947" s="1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4"/>
      <c r="B948" s="14"/>
      <c r="C948" s="15"/>
      <c r="D948" s="1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4"/>
      <c r="B949" s="14"/>
      <c r="C949" s="15"/>
      <c r="D949" s="1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4"/>
      <c r="B950" s="14"/>
      <c r="C950" s="15"/>
      <c r="D950" s="1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4"/>
      <c r="B951" s="14"/>
      <c r="C951" s="15"/>
      <c r="D951" s="1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4"/>
      <c r="B952" s="14"/>
      <c r="C952" s="15"/>
      <c r="D952" s="1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4"/>
      <c r="B953" s="14"/>
      <c r="C953" s="15"/>
      <c r="D953" s="1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4"/>
      <c r="B954" s="14"/>
      <c r="C954" s="15"/>
      <c r="D954" s="1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4"/>
      <c r="B955" s="14"/>
      <c r="C955" s="15"/>
      <c r="D955" s="1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4"/>
      <c r="B956" s="14"/>
      <c r="C956" s="15"/>
      <c r="D956" s="1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4"/>
      <c r="B957" s="14"/>
      <c r="C957" s="15"/>
      <c r="D957" s="1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4"/>
      <c r="B958" s="14"/>
      <c r="C958" s="15"/>
      <c r="D958" s="1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4"/>
      <c r="B959" s="14"/>
      <c r="C959" s="15"/>
      <c r="D959" s="1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4"/>
      <c r="B960" s="14"/>
      <c r="C960" s="15"/>
      <c r="D960" s="1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4"/>
      <c r="B961" s="14"/>
      <c r="C961" s="15"/>
      <c r="D961" s="1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4"/>
      <c r="B962" s="14"/>
      <c r="C962" s="15"/>
      <c r="D962" s="1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4"/>
      <c r="B963" s="14"/>
      <c r="C963" s="15"/>
      <c r="D963" s="1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4"/>
      <c r="B964" s="14"/>
      <c r="C964" s="15"/>
      <c r="D964" s="1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4"/>
      <c r="B965" s="14"/>
      <c r="C965" s="15"/>
      <c r="D965" s="1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4"/>
      <c r="B966" s="14"/>
      <c r="C966" s="15"/>
      <c r="D966" s="1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4"/>
      <c r="B967" s="14"/>
      <c r="C967" s="15"/>
      <c r="D967" s="1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4"/>
      <c r="B968" s="14"/>
      <c r="C968" s="15"/>
      <c r="D968" s="1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4"/>
      <c r="B969" s="14"/>
      <c r="C969" s="15"/>
      <c r="D969" s="1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4"/>
      <c r="B970" s="14"/>
      <c r="C970" s="15"/>
      <c r="D970" s="1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4"/>
      <c r="B971" s="14"/>
      <c r="C971" s="15"/>
      <c r="D971" s="1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4"/>
      <c r="B972" s="14"/>
      <c r="C972" s="15"/>
      <c r="D972" s="1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4"/>
      <c r="B973" s="14"/>
      <c r="C973" s="15"/>
      <c r="D973" s="1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4"/>
      <c r="B974" s="14"/>
      <c r="C974" s="15"/>
      <c r="D974" s="1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4"/>
      <c r="B975" s="14"/>
      <c r="C975" s="15"/>
      <c r="D975" s="1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4"/>
      <c r="B976" s="14"/>
      <c r="C976" s="15"/>
      <c r="D976" s="1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4"/>
      <c r="B977" s="14"/>
      <c r="C977" s="15"/>
      <c r="D977" s="1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4"/>
      <c r="B978" s="14"/>
      <c r="C978" s="15"/>
      <c r="D978" s="1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4"/>
      <c r="B979" s="14"/>
      <c r="C979" s="15"/>
      <c r="D979" s="1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4"/>
      <c r="B980" s="14"/>
      <c r="C980" s="15"/>
      <c r="D980" s="1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4"/>
      <c r="B981" s="14"/>
      <c r="C981" s="15"/>
      <c r="D981" s="1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4"/>
      <c r="B982" s="14"/>
      <c r="C982" s="15"/>
      <c r="D982" s="1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4"/>
      <c r="B983" s="14"/>
      <c r="C983" s="15"/>
      <c r="D983" s="1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4"/>
      <c r="B984" s="14"/>
      <c r="C984" s="15"/>
      <c r="D984" s="1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4"/>
      <c r="B985" s="14"/>
      <c r="C985" s="15"/>
      <c r="D985" s="1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4"/>
      <c r="B986" s="14"/>
      <c r="C986" s="15"/>
      <c r="D986" s="1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4"/>
      <c r="B987" s="14"/>
      <c r="C987" s="15"/>
      <c r="D987" s="1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4"/>
      <c r="B988" s="14"/>
      <c r="C988" s="15"/>
      <c r="D988" s="1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4"/>
      <c r="B989" s="14"/>
      <c r="C989" s="15"/>
      <c r="D989" s="1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4"/>
      <c r="B990" s="14"/>
      <c r="C990" s="15"/>
      <c r="D990" s="1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4"/>
      <c r="B991" s="14"/>
      <c r="C991" s="15"/>
      <c r="D991" s="1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4"/>
      <c r="B992" s="14"/>
      <c r="C992" s="15"/>
      <c r="D992" s="1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4"/>
      <c r="B993" s="14"/>
      <c r="C993" s="15"/>
      <c r="D993" s="1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4"/>
      <c r="B994" s="14"/>
      <c r="C994" s="15"/>
      <c r="D994" s="1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4"/>
      <c r="B995" s="14"/>
      <c r="C995" s="15"/>
      <c r="D995" s="1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4"/>
      <c r="B996" s="14"/>
      <c r="C996" s="15"/>
      <c r="D996" s="1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4"/>
      <c r="B997" s="14"/>
      <c r="C997" s="15"/>
      <c r="D997" s="1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4"/>
      <c r="B998" s="14"/>
      <c r="C998" s="15"/>
      <c r="D998" s="16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4"/>
      <c r="B999" s="14"/>
      <c r="C999" s="15"/>
      <c r="D999" s="16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4"/>
      <c r="B1000" s="14"/>
      <c r="C1000" s="15"/>
      <c r="D1000" s="16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A1:F1"/>
    <mergeCell ref="A2:F2"/>
    <mergeCell ref="A3:F3"/>
    <mergeCell ref="A4:F4"/>
    <mergeCell ref="A5:F6"/>
    <mergeCell ref="A7:C7"/>
    <mergeCell ref="D7:F7"/>
    <mergeCell ref="A8:C8"/>
    <mergeCell ref="D8:F8"/>
    <mergeCell ref="A9:C9"/>
    <mergeCell ref="D9:F9"/>
    <mergeCell ref="A10:C10"/>
    <mergeCell ref="D10:F10"/>
    <mergeCell ref="A11:F11"/>
    <mergeCell ref="A123:F123"/>
    <mergeCell ref="A125:F125"/>
    <mergeCell ref="A126:F126"/>
    <mergeCell ref="A127:F127"/>
    <mergeCell ref="A12:F12"/>
    <mergeCell ref="A13:A14"/>
    <mergeCell ref="B13:B14"/>
    <mergeCell ref="C13:C14"/>
    <mergeCell ref="D13:D14"/>
    <mergeCell ref="D118:E118"/>
    <mergeCell ref="A119:F119"/>
  </mergeCells>
  <pageMargins left="0.7" right="0.7" top="0.75" bottom="0.75" header="0" footer="0"/>
  <pageSetup orientation="portrait"/>
  <headerFooter>
    <oddFooter>&amp;C #7f7f7f General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5"/>
  <sheetViews>
    <sheetView workbookViewId="0">
      <pane ySplit="2" topLeftCell="A86" activePane="bottomLeft" state="frozen"/>
      <selection pane="bottomLeft" activeCell="U111" sqref="U111"/>
    </sheetView>
  </sheetViews>
  <sheetFormatPr defaultColWidth="12.625" defaultRowHeight="15" customHeight="1"/>
  <cols>
    <col min="1" max="1" width="3.5" style="51" bestFit="1" customWidth="1"/>
    <col min="2" max="2" width="10.625" style="51" bestFit="1" customWidth="1"/>
    <col min="3" max="3" width="42.125" style="51" bestFit="1" customWidth="1"/>
    <col min="4" max="4" width="15.125" style="51" bestFit="1" customWidth="1"/>
    <col min="5" max="5" width="5.75" style="51" customWidth="1"/>
    <col min="6" max="7" width="4.875" style="51" customWidth="1"/>
    <col min="8" max="8" width="6.5" style="51" customWidth="1"/>
    <col min="9" max="9" width="7.5" style="51" customWidth="1"/>
    <col min="10" max="10" width="7.625" style="51" customWidth="1"/>
    <col min="11" max="11" width="8.125" style="51" customWidth="1"/>
    <col min="12" max="12" width="6" style="51" customWidth="1"/>
    <col min="13" max="13" width="7.125" style="51" customWidth="1"/>
    <col min="14" max="14" width="6.875" style="51" customWidth="1"/>
    <col min="15" max="15" width="8.375" style="51" customWidth="1"/>
    <col min="16" max="16" width="8.625" style="51" customWidth="1"/>
    <col min="17" max="17" width="7.5" style="51" customWidth="1"/>
    <col min="18" max="18" width="6.125" style="51" customWidth="1"/>
    <col min="19" max="19" width="5.875" style="51" customWidth="1"/>
    <col min="20" max="20" width="6.125" style="51" customWidth="1"/>
    <col min="21" max="21" width="8.125" style="51" customWidth="1"/>
    <col min="22" max="22" width="6.875" style="51" bestFit="1" customWidth="1"/>
    <col min="23" max="23" width="6.875" style="51" customWidth="1"/>
    <col min="24" max="24" width="24" style="60" bestFit="1" customWidth="1"/>
    <col min="25" max="26" width="12.625" style="60" customWidth="1"/>
    <col min="27" max="27" width="12.625" style="60"/>
    <col min="28" max="16384" width="12.625" style="51"/>
  </cols>
  <sheetData>
    <row r="1" spans="1:26" ht="15.75" thickBot="1">
      <c r="A1" s="17"/>
      <c r="B1" s="18"/>
      <c r="C1" s="19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/>
      <c r="U1" s="1"/>
      <c r="V1" s="1"/>
      <c r="W1" s="21"/>
      <c r="X1" s="21"/>
      <c r="Y1" s="21"/>
      <c r="Z1" s="21"/>
    </row>
    <row r="2" spans="1:26" ht="39" thickBot="1">
      <c r="A2" s="164" t="s">
        <v>13</v>
      </c>
      <c r="B2" s="165" t="s">
        <v>14</v>
      </c>
      <c r="C2" s="165" t="s">
        <v>15</v>
      </c>
      <c r="D2" s="166" t="s">
        <v>131</v>
      </c>
      <c r="E2" s="440" t="s">
        <v>132</v>
      </c>
      <c r="F2" s="441"/>
      <c r="G2" s="441"/>
      <c r="H2" s="166" t="s">
        <v>133</v>
      </c>
      <c r="I2" s="167" t="s">
        <v>134</v>
      </c>
      <c r="J2" s="168" t="s">
        <v>135</v>
      </c>
      <c r="K2" s="168" t="s">
        <v>136</v>
      </c>
      <c r="L2" s="168" t="s">
        <v>137</v>
      </c>
      <c r="M2" s="166" t="s">
        <v>138</v>
      </c>
      <c r="N2" s="166" t="s">
        <v>139</v>
      </c>
      <c r="O2" s="166" t="s">
        <v>140</v>
      </c>
      <c r="P2" s="168" t="s">
        <v>141</v>
      </c>
      <c r="Q2" s="168" t="s">
        <v>160</v>
      </c>
      <c r="R2" s="166" t="s">
        <v>142</v>
      </c>
      <c r="S2" s="168" t="s">
        <v>143</v>
      </c>
      <c r="T2" s="169" t="s">
        <v>144</v>
      </c>
      <c r="U2" s="170" t="s">
        <v>145</v>
      </c>
      <c r="V2" s="170" t="s">
        <v>146</v>
      </c>
      <c r="W2" s="450"/>
      <c r="X2" s="360" t="s">
        <v>176</v>
      </c>
      <c r="Y2" s="61"/>
      <c r="Z2" s="61"/>
    </row>
    <row r="3" spans="1:26" ht="18" customHeight="1">
      <c r="A3" s="361">
        <v>1</v>
      </c>
      <c r="B3" s="335">
        <v>9000011003</v>
      </c>
      <c r="C3" s="306" t="s">
        <v>20</v>
      </c>
      <c r="D3" s="156" t="s">
        <v>147</v>
      </c>
      <c r="E3" s="157">
        <v>12</v>
      </c>
      <c r="F3" s="157">
        <v>32</v>
      </c>
      <c r="G3" s="157">
        <v>40</v>
      </c>
      <c r="H3" s="158">
        <f t="shared" ref="H3:H4" si="0">+E3*F3*G3*2.77/1000000</f>
        <v>4.25472E-2</v>
      </c>
      <c r="I3" s="159">
        <f t="shared" ref="I3:I4" si="1">H3*450</f>
        <v>19.146239999999999</v>
      </c>
      <c r="J3" s="160">
        <v>0</v>
      </c>
      <c r="K3" s="160">
        <v>120</v>
      </c>
      <c r="L3" s="160">
        <v>0</v>
      </c>
      <c r="M3" s="160">
        <v>50</v>
      </c>
      <c r="N3" s="160">
        <v>0</v>
      </c>
      <c r="O3" s="160">
        <v>0</v>
      </c>
      <c r="P3" s="160">
        <v>0</v>
      </c>
      <c r="Q3" s="160">
        <v>0</v>
      </c>
      <c r="R3" s="160">
        <v>0</v>
      </c>
      <c r="S3" s="161">
        <f t="shared" ref="S3:S5" si="2">SUM(I3:R3)*25%</f>
        <v>47.286560000000001</v>
      </c>
      <c r="T3" s="162">
        <v>16</v>
      </c>
      <c r="U3" s="163">
        <f t="shared" ref="U3:U8" si="3">+SUM(I3:S3)</f>
        <v>236.43280000000001</v>
      </c>
      <c r="V3" s="163">
        <f t="shared" ref="V3:V24" si="4">U3*T3</f>
        <v>3782.9248000000002</v>
      </c>
      <c r="W3" s="451"/>
      <c r="X3" s="171"/>
      <c r="Y3" s="52"/>
      <c r="Z3" s="52"/>
    </row>
    <row r="4" spans="1:26" ht="18" customHeight="1">
      <c r="A4" s="362">
        <v>2</v>
      </c>
      <c r="B4" s="104">
        <v>9000011103</v>
      </c>
      <c r="C4" s="308" t="s">
        <v>20</v>
      </c>
      <c r="D4" s="81" t="s">
        <v>147</v>
      </c>
      <c r="E4" s="82">
        <v>12</v>
      </c>
      <c r="F4" s="82">
        <v>32</v>
      </c>
      <c r="G4" s="82">
        <v>60</v>
      </c>
      <c r="H4" s="83">
        <f t="shared" si="0"/>
        <v>6.3820799999999997E-2</v>
      </c>
      <c r="I4" s="84">
        <f t="shared" si="1"/>
        <v>28.719359999999998</v>
      </c>
      <c r="J4" s="84">
        <v>0</v>
      </c>
      <c r="K4" s="84">
        <v>120</v>
      </c>
      <c r="L4" s="84">
        <v>0</v>
      </c>
      <c r="M4" s="84">
        <v>50</v>
      </c>
      <c r="N4" s="84">
        <v>0</v>
      </c>
      <c r="O4" s="84">
        <v>0</v>
      </c>
      <c r="P4" s="84">
        <v>0</v>
      </c>
      <c r="Q4" s="84">
        <v>0</v>
      </c>
      <c r="R4" s="84">
        <v>0</v>
      </c>
      <c r="S4" s="85">
        <f t="shared" si="2"/>
        <v>49.679839999999999</v>
      </c>
      <c r="T4" s="86">
        <v>8</v>
      </c>
      <c r="U4" s="87">
        <f t="shared" si="3"/>
        <v>248.39920000000001</v>
      </c>
      <c r="V4" s="87">
        <f t="shared" si="4"/>
        <v>1987.1936000000001</v>
      </c>
      <c r="W4" s="452"/>
      <c r="X4" s="172"/>
      <c r="Y4" s="52"/>
      <c r="Z4" s="52"/>
    </row>
    <row r="5" spans="1:26" ht="18" customHeight="1">
      <c r="A5" s="362">
        <v>3</v>
      </c>
      <c r="B5" s="104">
        <v>9000118001</v>
      </c>
      <c r="C5" s="308" t="s">
        <v>21</v>
      </c>
      <c r="D5" s="81" t="s">
        <v>148</v>
      </c>
      <c r="E5" s="442">
        <v>25</v>
      </c>
      <c r="F5" s="437"/>
      <c r="G5" s="82">
        <v>30</v>
      </c>
      <c r="H5" s="83">
        <f>+E5*E5*3.14/4*G5*8.55/1000000</f>
        <v>0.12584531250000003</v>
      </c>
      <c r="I5" s="84">
        <f>H5*350</f>
        <v>44.045859375000013</v>
      </c>
      <c r="J5" s="84">
        <v>220</v>
      </c>
      <c r="K5" s="84">
        <v>0</v>
      </c>
      <c r="L5" s="84">
        <v>0</v>
      </c>
      <c r="M5" s="84">
        <v>50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5">
        <f t="shared" si="2"/>
        <v>78.511464843750005</v>
      </c>
      <c r="T5" s="86">
        <v>8</v>
      </c>
      <c r="U5" s="87">
        <f t="shared" si="3"/>
        <v>392.55732421875001</v>
      </c>
      <c r="V5" s="87">
        <f t="shared" si="4"/>
        <v>3140.4585937500001</v>
      </c>
      <c r="W5" s="452"/>
      <c r="X5" s="172"/>
      <c r="Y5" s="52"/>
      <c r="Z5" s="52"/>
    </row>
    <row r="6" spans="1:26" ht="18" customHeight="1">
      <c r="A6" s="363">
        <v>4</v>
      </c>
      <c r="B6" s="110">
        <v>9000152202</v>
      </c>
      <c r="C6" s="310" t="s">
        <v>22</v>
      </c>
      <c r="D6" s="88" t="s">
        <v>149</v>
      </c>
      <c r="E6" s="89">
        <v>160</v>
      </c>
      <c r="F6" s="89">
        <v>120</v>
      </c>
      <c r="G6" s="89">
        <v>55</v>
      </c>
      <c r="H6" s="90">
        <f t="shared" ref="H6:H8" si="5">+E6*F6*G6*7.85/1000000</f>
        <v>8.2896000000000001</v>
      </c>
      <c r="I6" s="91">
        <f>H6*90</f>
        <v>746.06399999999996</v>
      </c>
      <c r="J6" s="91">
        <v>0</v>
      </c>
      <c r="K6" s="91">
        <v>300</v>
      </c>
      <c r="L6" s="91">
        <v>1600</v>
      </c>
      <c r="M6" s="91">
        <v>100</v>
      </c>
      <c r="N6" s="91">
        <v>100</v>
      </c>
      <c r="O6" s="91">
        <v>100</v>
      </c>
      <c r="P6" s="91">
        <v>0</v>
      </c>
      <c r="Q6" s="91">
        <v>0</v>
      </c>
      <c r="R6" s="91">
        <f>+H6*25</f>
        <v>207.24</v>
      </c>
      <c r="S6" s="92">
        <f>SUM(I6:R6)*20%</f>
        <v>630.66080000000011</v>
      </c>
      <c r="T6" s="86">
        <v>1</v>
      </c>
      <c r="U6" s="93">
        <f t="shared" si="3"/>
        <v>3783.9648000000002</v>
      </c>
      <c r="V6" s="93">
        <f t="shared" si="4"/>
        <v>3783.9648000000002</v>
      </c>
      <c r="W6" s="453"/>
      <c r="X6" s="173"/>
      <c r="Y6" s="53"/>
      <c r="Z6" s="53"/>
    </row>
    <row r="7" spans="1:26" ht="18" customHeight="1">
      <c r="A7" s="363">
        <v>5</v>
      </c>
      <c r="B7" s="110">
        <v>9000166101</v>
      </c>
      <c r="C7" s="310" t="s">
        <v>23</v>
      </c>
      <c r="D7" s="88" t="s">
        <v>152</v>
      </c>
      <c r="E7" s="89">
        <v>65</v>
      </c>
      <c r="F7" s="89">
        <v>65</v>
      </c>
      <c r="G7" s="89">
        <v>16</v>
      </c>
      <c r="H7" s="90">
        <f>+E7*F7*G7*2.77/1000000</f>
        <v>0.187252</v>
      </c>
      <c r="I7" s="91">
        <f>H7*450</f>
        <v>84.263400000000004</v>
      </c>
      <c r="J7" s="91">
        <v>0</v>
      </c>
      <c r="K7" s="91">
        <v>120</v>
      </c>
      <c r="L7" s="91">
        <v>400</v>
      </c>
      <c r="M7" s="91">
        <v>0</v>
      </c>
      <c r="N7" s="91">
        <v>80</v>
      </c>
      <c r="O7" s="91">
        <v>0</v>
      </c>
      <c r="P7" s="91">
        <v>0</v>
      </c>
      <c r="Q7" s="91">
        <v>0</v>
      </c>
      <c r="R7" s="91">
        <f>+H7*250</f>
        <v>46.813000000000002</v>
      </c>
      <c r="S7" s="92">
        <f t="shared" ref="S7:S18" si="6">SUM(I7:R7)*25%</f>
        <v>182.76910000000001</v>
      </c>
      <c r="T7" s="86">
        <v>1</v>
      </c>
      <c r="U7" s="93">
        <f t="shared" si="3"/>
        <v>913.84550000000002</v>
      </c>
      <c r="V7" s="93">
        <f t="shared" si="4"/>
        <v>913.84550000000002</v>
      </c>
      <c r="W7" s="453"/>
      <c r="X7" s="173"/>
      <c r="Y7" s="53"/>
      <c r="Z7" s="53"/>
    </row>
    <row r="8" spans="1:26" ht="18" customHeight="1">
      <c r="A8" s="364">
        <v>6</v>
      </c>
      <c r="B8" s="336">
        <v>9000182703</v>
      </c>
      <c r="C8" s="311" t="s">
        <v>24</v>
      </c>
      <c r="D8" s="94" t="s">
        <v>153</v>
      </c>
      <c r="E8" s="95">
        <v>0</v>
      </c>
      <c r="F8" s="95">
        <v>0</v>
      </c>
      <c r="G8" s="95">
        <v>0</v>
      </c>
      <c r="H8" s="96">
        <f t="shared" si="5"/>
        <v>0</v>
      </c>
      <c r="I8" s="97">
        <f>H8*100</f>
        <v>0</v>
      </c>
      <c r="J8" s="97">
        <v>600</v>
      </c>
      <c r="K8" s="97">
        <v>0</v>
      </c>
      <c r="L8" s="97">
        <v>0</v>
      </c>
      <c r="M8" s="97">
        <v>0</v>
      </c>
      <c r="N8" s="97">
        <v>0</v>
      </c>
      <c r="O8" s="97">
        <v>0</v>
      </c>
      <c r="P8" s="97">
        <v>0</v>
      </c>
      <c r="Q8" s="97">
        <v>0</v>
      </c>
      <c r="R8" s="97">
        <f>H8*25</f>
        <v>0</v>
      </c>
      <c r="S8" s="98">
        <f t="shared" si="6"/>
        <v>150</v>
      </c>
      <c r="T8" s="86">
        <v>16</v>
      </c>
      <c r="U8" s="93">
        <f t="shared" si="3"/>
        <v>750</v>
      </c>
      <c r="V8" s="99">
        <f t="shared" si="4"/>
        <v>12000</v>
      </c>
      <c r="W8" s="454"/>
      <c r="X8" s="174"/>
      <c r="Y8" s="54"/>
      <c r="Z8" s="54"/>
    </row>
    <row r="9" spans="1:26" ht="18" customHeight="1">
      <c r="A9" s="363">
        <v>7</v>
      </c>
      <c r="B9" s="110">
        <v>9000184102</v>
      </c>
      <c r="C9" s="310" t="s">
        <v>25</v>
      </c>
      <c r="D9" s="88" t="s">
        <v>149</v>
      </c>
      <c r="E9" s="439">
        <v>32</v>
      </c>
      <c r="F9" s="437"/>
      <c r="G9" s="89">
        <v>265</v>
      </c>
      <c r="H9" s="90">
        <f>+E9*E9*3.14/4*G9*7.85/1000000</f>
        <v>1.6721881599999999</v>
      </c>
      <c r="I9" s="91">
        <f>H9*90</f>
        <v>150.49693439999999</v>
      </c>
      <c r="J9" s="91">
        <v>450</v>
      </c>
      <c r="K9" s="91">
        <v>80</v>
      </c>
      <c r="L9" s="91">
        <v>0</v>
      </c>
      <c r="M9" s="91">
        <v>0</v>
      </c>
      <c r="N9" s="91">
        <v>20</v>
      </c>
      <c r="O9" s="91">
        <v>0</v>
      </c>
      <c r="P9" s="91">
        <v>0</v>
      </c>
      <c r="Q9" s="91">
        <v>0</v>
      </c>
      <c r="R9" s="91">
        <f>+H9*25</f>
        <v>41.804704000000001</v>
      </c>
      <c r="S9" s="92">
        <f t="shared" si="6"/>
        <v>185.5754096</v>
      </c>
      <c r="T9" s="86">
        <v>8</v>
      </c>
      <c r="U9" s="93">
        <f t="shared" ref="U9:U15" si="7">+SUM(I9:S9)</f>
        <v>927.87704800000006</v>
      </c>
      <c r="V9" s="93">
        <f t="shared" si="4"/>
        <v>7423.0163840000005</v>
      </c>
      <c r="W9" s="453"/>
      <c r="X9" s="173"/>
      <c r="Y9" s="53"/>
      <c r="Z9" s="53"/>
    </row>
    <row r="10" spans="1:26" ht="18" customHeight="1">
      <c r="A10" s="362">
        <v>8</v>
      </c>
      <c r="B10" s="104">
        <v>9000197803</v>
      </c>
      <c r="C10" s="308" t="s">
        <v>26</v>
      </c>
      <c r="D10" s="81" t="s">
        <v>147</v>
      </c>
      <c r="E10" s="82">
        <v>55</v>
      </c>
      <c r="F10" s="82">
        <v>55</v>
      </c>
      <c r="G10" s="82">
        <v>605</v>
      </c>
      <c r="H10" s="83">
        <f>+E10*F10*G10*2.77/1000000</f>
        <v>5.0694462500000004</v>
      </c>
      <c r="I10" s="84">
        <f>+H10*450</f>
        <v>2281.2508125000004</v>
      </c>
      <c r="J10" s="84">
        <v>0</v>
      </c>
      <c r="K10" s="84">
        <v>600</v>
      </c>
      <c r="L10" s="84">
        <v>0</v>
      </c>
      <c r="M10" s="84">
        <f>16*25</f>
        <v>400</v>
      </c>
      <c r="N10" s="84">
        <f>6*20</f>
        <v>120</v>
      </c>
      <c r="O10" s="84">
        <v>0</v>
      </c>
      <c r="P10" s="84">
        <v>0</v>
      </c>
      <c r="Q10" s="84">
        <v>0</v>
      </c>
      <c r="R10" s="84">
        <v>0</v>
      </c>
      <c r="S10" s="85">
        <f t="shared" si="6"/>
        <v>850.3127031250001</v>
      </c>
      <c r="T10" s="86">
        <v>8</v>
      </c>
      <c r="U10" s="87">
        <f t="shared" si="7"/>
        <v>4251.5635156250009</v>
      </c>
      <c r="V10" s="87">
        <f t="shared" si="4"/>
        <v>34012.508125000008</v>
      </c>
      <c r="W10" s="452"/>
      <c r="X10" s="175"/>
      <c r="Y10" s="55"/>
      <c r="Z10" s="55"/>
    </row>
    <row r="11" spans="1:26" ht="18" customHeight="1">
      <c r="A11" s="362">
        <v>9</v>
      </c>
      <c r="B11" s="104">
        <v>9000229001</v>
      </c>
      <c r="C11" s="308" t="s">
        <v>27</v>
      </c>
      <c r="D11" s="81" t="s">
        <v>149</v>
      </c>
      <c r="E11" s="82">
        <v>40</v>
      </c>
      <c r="F11" s="82">
        <v>20</v>
      </c>
      <c r="G11" s="82">
        <v>5</v>
      </c>
      <c r="H11" s="83">
        <f t="shared" ref="H11:H12" si="8">+E11*F11*G11*7.85/1000000</f>
        <v>3.1399999999999997E-2</v>
      </c>
      <c r="I11" s="84">
        <f>H11*90</f>
        <v>2.8259999999999996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80</v>
      </c>
      <c r="Q11" s="84">
        <v>0</v>
      </c>
      <c r="R11" s="84">
        <f>+H11*20</f>
        <v>0.62799999999999989</v>
      </c>
      <c r="S11" s="85">
        <f t="shared" si="6"/>
        <v>20.863499999999998</v>
      </c>
      <c r="T11" s="86">
        <v>24</v>
      </c>
      <c r="U11" s="87">
        <f t="shared" si="7"/>
        <v>104.3175</v>
      </c>
      <c r="V11" s="87">
        <f t="shared" si="4"/>
        <v>2503.62</v>
      </c>
      <c r="W11" s="452"/>
      <c r="X11" s="175"/>
      <c r="Y11" s="55"/>
      <c r="Z11" s="55"/>
    </row>
    <row r="12" spans="1:26" ht="18" customHeight="1">
      <c r="A12" s="362">
        <v>10</v>
      </c>
      <c r="B12" s="104">
        <v>9000234902</v>
      </c>
      <c r="C12" s="308" t="s">
        <v>28</v>
      </c>
      <c r="D12" s="81" t="s">
        <v>149</v>
      </c>
      <c r="E12" s="82">
        <v>50</v>
      </c>
      <c r="F12" s="82">
        <v>25</v>
      </c>
      <c r="G12" s="82">
        <v>25</v>
      </c>
      <c r="H12" s="83">
        <f t="shared" si="8"/>
        <v>0.24531249999999999</v>
      </c>
      <c r="I12" s="84">
        <f>H12*90</f>
        <v>22.078125</v>
      </c>
      <c r="J12" s="84">
        <v>0</v>
      </c>
      <c r="K12" s="84">
        <v>80</v>
      </c>
      <c r="L12" s="84">
        <v>0</v>
      </c>
      <c r="M12" s="84">
        <v>40</v>
      </c>
      <c r="N12" s="84">
        <v>40</v>
      </c>
      <c r="O12" s="84">
        <v>0</v>
      </c>
      <c r="P12" s="84">
        <v>0</v>
      </c>
      <c r="Q12" s="84">
        <v>0</v>
      </c>
      <c r="R12" s="84">
        <f t="shared" ref="R12:R14" si="9">H12*25</f>
        <v>6.1328125</v>
      </c>
      <c r="S12" s="85">
        <f t="shared" si="6"/>
        <v>47.052734375</v>
      </c>
      <c r="T12" s="86">
        <v>4</v>
      </c>
      <c r="U12" s="87">
        <f t="shared" si="7"/>
        <v>235.263671875</v>
      </c>
      <c r="V12" s="87">
        <f t="shared" si="4"/>
        <v>941.0546875</v>
      </c>
      <c r="W12" s="452"/>
      <c r="X12" s="175"/>
      <c r="Y12" s="55"/>
      <c r="Z12" s="55"/>
    </row>
    <row r="13" spans="1:26" ht="18" customHeight="1">
      <c r="A13" s="365">
        <v>11</v>
      </c>
      <c r="B13" s="337">
        <v>9000236502</v>
      </c>
      <c r="C13" s="312" t="s">
        <v>29</v>
      </c>
      <c r="D13" s="188" t="s">
        <v>154</v>
      </c>
      <c r="E13" s="443">
        <v>0</v>
      </c>
      <c r="F13" s="444"/>
      <c r="G13" s="189">
        <v>0</v>
      </c>
      <c r="H13" s="190">
        <f t="shared" ref="H13:H14" si="10">+E13*E13*3.14/4*G13*7.85/1000000</f>
        <v>0</v>
      </c>
      <c r="I13" s="277">
        <f t="shared" ref="I13:I14" si="11">H13*100</f>
        <v>0</v>
      </c>
      <c r="J13" s="277">
        <v>0</v>
      </c>
      <c r="K13" s="277">
        <v>0</v>
      </c>
      <c r="L13" s="277">
        <v>0</v>
      </c>
      <c r="M13" s="277">
        <v>0</v>
      </c>
      <c r="N13" s="277">
        <v>0</v>
      </c>
      <c r="O13" s="277">
        <v>0</v>
      </c>
      <c r="P13" s="277">
        <v>0</v>
      </c>
      <c r="Q13" s="277">
        <v>0</v>
      </c>
      <c r="R13" s="277">
        <v>0</v>
      </c>
      <c r="S13" s="278">
        <f t="shared" si="6"/>
        <v>0</v>
      </c>
      <c r="T13" s="279">
        <v>4</v>
      </c>
      <c r="U13" s="280">
        <f t="shared" si="7"/>
        <v>0</v>
      </c>
      <c r="V13" s="280">
        <f t="shared" si="4"/>
        <v>0</v>
      </c>
      <c r="W13" s="191" t="s">
        <v>155</v>
      </c>
      <c r="X13" s="191"/>
      <c r="Y13" s="56"/>
      <c r="Z13" s="56"/>
    </row>
    <row r="14" spans="1:26" ht="18" customHeight="1">
      <c r="A14" s="366">
        <v>12</v>
      </c>
      <c r="B14" s="88">
        <v>9000392401</v>
      </c>
      <c r="C14" s="310" t="s">
        <v>30</v>
      </c>
      <c r="D14" s="88" t="s">
        <v>156</v>
      </c>
      <c r="E14" s="439">
        <v>20</v>
      </c>
      <c r="F14" s="437"/>
      <c r="G14" s="89">
        <v>55</v>
      </c>
      <c r="H14" s="90">
        <f t="shared" si="10"/>
        <v>0.13556950000000001</v>
      </c>
      <c r="I14" s="91">
        <f t="shared" si="11"/>
        <v>13.556950000000001</v>
      </c>
      <c r="J14" s="91">
        <v>120</v>
      </c>
      <c r="K14" s="91">
        <v>0</v>
      </c>
      <c r="L14" s="91">
        <v>0</v>
      </c>
      <c r="M14" s="91">
        <v>0</v>
      </c>
      <c r="N14" s="91">
        <v>0</v>
      </c>
      <c r="O14" s="91">
        <v>0</v>
      </c>
      <c r="P14" s="91">
        <v>0</v>
      </c>
      <c r="Q14" s="91">
        <v>10</v>
      </c>
      <c r="R14" s="84">
        <f t="shared" si="9"/>
        <v>3.3892375000000001</v>
      </c>
      <c r="S14" s="92">
        <f t="shared" si="6"/>
        <v>36.736546875000002</v>
      </c>
      <c r="T14" s="86">
        <v>14</v>
      </c>
      <c r="U14" s="93">
        <f t="shared" si="7"/>
        <v>183.682734375</v>
      </c>
      <c r="V14" s="103">
        <f t="shared" si="4"/>
        <v>2571.5582812499997</v>
      </c>
      <c r="W14" s="455"/>
      <c r="X14" s="173"/>
      <c r="Y14" s="53"/>
      <c r="Z14" s="62"/>
    </row>
    <row r="15" spans="1:26" ht="18" customHeight="1">
      <c r="A15" s="362">
        <v>13</v>
      </c>
      <c r="B15" s="104">
        <v>9000392901</v>
      </c>
      <c r="C15" s="307" t="s">
        <v>31</v>
      </c>
      <c r="D15" s="104" t="s">
        <v>152</v>
      </c>
      <c r="E15" s="105">
        <v>445</v>
      </c>
      <c r="F15" s="105">
        <v>225</v>
      </c>
      <c r="G15" s="105">
        <v>20</v>
      </c>
      <c r="H15" s="106">
        <f>+E15*F15*G15*2.55/1000000</f>
        <v>5.1063749999999999</v>
      </c>
      <c r="I15" s="107">
        <f>+H15*450</f>
        <v>2297.8687500000001</v>
      </c>
      <c r="J15" s="107">
        <v>0</v>
      </c>
      <c r="K15" s="107">
        <v>750</v>
      </c>
      <c r="L15" s="107">
        <v>1200</v>
      </c>
      <c r="M15" s="107">
        <f>6*20</f>
        <v>120</v>
      </c>
      <c r="N15" s="107">
        <v>120</v>
      </c>
      <c r="O15" s="107">
        <v>0</v>
      </c>
      <c r="P15" s="107">
        <v>0</v>
      </c>
      <c r="Q15" s="107">
        <v>0</v>
      </c>
      <c r="R15" s="107">
        <f>+H15*350</f>
        <v>1787.23125</v>
      </c>
      <c r="S15" s="108">
        <f t="shared" si="6"/>
        <v>1568.7749999999999</v>
      </c>
      <c r="T15" s="86">
        <v>7</v>
      </c>
      <c r="U15" s="109">
        <f t="shared" si="7"/>
        <v>7843.8749999999991</v>
      </c>
      <c r="V15" s="109">
        <f t="shared" si="4"/>
        <v>54907.124999999993</v>
      </c>
      <c r="W15" s="456"/>
      <c r="X15" s="177"/>
      <c r="Y15" s="57"/>
      <c r="Z15" s="63"/>
    </row>
    <row r="16" spans="1:26" ht="18" customHeight="1">
      <c r="A16" s="363">
        <v>14</v>
      </c>
      <c r="B16" s="110">
        <v>9000513803</v>
      </c>
      <c r="C16" s="309" t="s">
        <v>32</v>
      </c>
      <c r="D16" s="110" t="s">
        <v>157</v>
      </c>
      <c r="E16" s="445">
        <v>90</v>
      </c>
      <c r="F16" s="437"/>
      <c r="G16" s="111">
        <v>90</v>
      </c>
      <c r="H16" s="112">
        <f>+E16*E16*3.14/4*G16*1.77/1000000</f>
        <v>1.01290905</v>
      </c>
      <c r="I16" s="113">
        <f>H16*2000</f>
        <v>2025.8181</v>
      </c>
      <c r="J16" s="107">
        <v>450</v>
      </c>
      <c r="K16" s="107">
        <v>0</v>
      </c>
      <c r="L16" s="107">
        <v>0</v>
      </c>
      <c r="M16" s="107">
        <v>0</v>
      </c>
      <c r="N16" s="107">
        <v>0</v>
      </c>
      <c r="O16" s="107">
        <v>0</v>
      </c>
      <c r="P16" s="107">
        <v>0</v>
      </c>
      <c r="Q16" s="107">
        <v>0</v>
      </c>
      <c r="R16" s="107">
        <v>0</v>
      </c>
      <c r="S16" s="108">
        <f t="shared" si="6"/>
        <v>618.95452499999999</v>
      </c>
      <c r="T16" s="88">
        <v>8</v>
      </c>
      <c r="U16" s="109">
        <f t="shared" ref="U16:U18" si="12">+SUM(I16:S16)</f>
        <v>3094.7726250000001</v>
      </c>
      <c r="V16" s="109">
        <f t="shared" ref="V16" si="13">U16*T16</f>
        <v>24758.181</v>
      </c>
      <c r="W16" s="456"/>
      <c r="X16" s="178"/>
      <c r="Y16" s="58"/>
      <c r="Z16" s="64"/>
    </row>
    <row r="17" spans="1:26" ht="18" customHeight="1">
      <c r="A17" s="367">
        <v>15</v>
      </c>
      <c r="B17" s="338">
        <v>9000569303</v>
      </c>
      <c r="C17" s="313" t="s">
        <v>33</v>
      </c>
      <c r="D17" s="114" t="s">
        <v>149</v>
      </c>
      <c r="E17" s="115">
        <v>760</v>
      </c>
      <c r="F17" s="115">
        <v>65</v>
      </c>
      <c r="G17" s="115">
        <v>55</v>
      </c>
      <c r="H17" s="116">
        <f>+E17*F17*G17*7.85/1000000</f>
        <v>21.32845</v>
      </c>
      <c r="I17" s="117">
        <f>H17*90</f>
        <v>1919.5605</v>
      </c>
      <c r="J17" s="107">
        <v>0</v>
      </c>
      <c r="K17" s="107">
        <v>1200</v>
      </c>
      <c r="L17" s="107">
        <v>0</v>
      </c>
      <c r="M17" s="107">
        <f>20*25</f>
        <v>500</v>
      </c>
      <c r="N17" s="107">
        <f>8*20</f>
        <v>160</v>
      </c>
      <c r="O17" s="107">
        <v>0</v>
      </c>
      <c r="P17" s="107">
        <v>0</v>
      </c>
      <c r="Q17" s="107">
        <v>0</v>
      </c>
      <c r="R17" s="107">
        <f>+H17*20</f>
        <v>426.56900000000002</v>
      </c>
      <c r="S17" s="108">
        <f t="shared" si="6"/>
        <v>1051.532375</v>
      </c>
      <c r="T17" s="86">
        <v>4</v>
      </c>
      <c r="U17" s="109">
        <f t="shared" si="12"/>
        <v>5257.6618749999998</v>
      </c>
      <c r="V17" s="109">
        <f t="shared" si="4"/>
        <v>21030.647499999999</v>
      </c>
      <c r="W17" s="456"/>
      <c r="X17" s="179"/>
      <c r="Y17" s="59"/>
      <c r="Z17" s="65"/>
    </row>
    <row r="18" spans="1:26" ht="18" customHeight="1">
      <c r="A18" s="367">
        <v>16</v>
      </c>
      <c r="B18" s="338">
        <v>9000574302</v>
      </c>
      <c r="C18" s="313" t="s">
        <v>34</v>
      </c>
      <c r="D18" s="114" t="s">
        <v>149</v>
      </c>
      <c r="E18" s="115">
        <v>105</v>
      </c>
      <c r="F18" s="115">
        <v>30</v>
      </c>
      <c r="G18" s="115">
        <v>30</v>
      </c>
      <c r="H18" s="116">
        <f t="shared" ref="H18:H19" si="14">+E18*F18*G18*7.85/1000000</f>
        <v>0.74182499999999996</v>
      </c>
      <c r="I18" s="117">
        <f>H18*90</f>
        <v>66.76424999999999</v>
      </c>
      <c r="J18" s="107">
        <v>0</v>
      </c>
      <c r="K18" s="107">
        <v>160</v>
      </c>
      <c r="L18" s="107">
        <v>0</v>
      </c>
      <c r="M18" s="107">
        <v>100</v>
      </c>
      <c r="N18" s="107">
        <v>40</v>
      </c>
      <c r="O18" s="107">
        <v>0</v>
      </c>
      <c r="P18" s="107">
        <v>0</v>
      </c>
      <c r="Q18" s="107">
        <v>0</v>
      </c>
      <c r="R18" s="107">
        <f>+H18*20</f>
        <v>14.836499999999999</v>
      </c>
      <c r="S18" s="108">
        <f t="shared" si="6"/>
        <v>95.400187500000001</v>
      </c>
      <c r="T18" s="86">
        <v>4</v>
      </c>
      <c r="U18" s="109">
        <f t="shared" si="12"/>
        <v>477.00093750000002</v>
      </c>
      <c r="V18" s="109">
        <f t="shared" si="4"/>
        <v>1908.0037500000001</v>
      </c>
      <c r="W18" s="456"/>
      <c r="X18" s="179"/>
      <c r="Y18" s="59"/>
      <c r="Z18" s="59"/>
    </row>
    <row r="19" spans="1:26" ht="18" customHeight="1">
      <c r="A19" s="368">
        <v>17</v>
      </c>
      <c r="B19" s="339">
        <v>9000650903</v>
      </c>
      <c r="C19" s="314" t="s">
        <v>35</v>
      </c>
      <c r="D19" s="260" t="s">
        <v>149</v>
      </c>
      <c r="E19" s="239">
        <v>3500</v>
      </c>
      <c r="F19" s="239">
        <v>50</v>
      </c>
      <c r="G19" s="239">
        <v>10</v>
      </c>
      <c r="H19" s="240">
        <f t="shared" si="14"/>
        <v>13.737500000000001</v>
      </c>
      <c r="I19" s="241">
        <f>+H19*90</f>
        <v>1236.375</v>
      </c>
      <c r="J19" s="241">
        <v>0</v>
      </c>
      <c r="K19" s="241">
        <v>0</v>
      </c>
      <c r="L19" s="241">
        <f>8*400</f>
        <v>3200</v>
      </c>
      <c r="M19" s="241">
        <f>8*20</f>
        <v>160</v>
      </c>
      <c r="N19" s="241">
        <f>40*20</f>
        <v>800</v>
      </c>
      <c r="O19" s="241">
        <v>0</v>
      </c>
      <c r="P19" s="241">
        <v>0</v>
      </c>
      <c r="Q19" s="241">
        <v>0</v>
      </c>
      <c r="R19" s="241">
        <v>800</v>
      </c>
      <c r="S19" s="242">
        <f t="shared" ref="S19:S24" si="15">SUM(I19:R19)*25%</f>
        <v>1549.09375</v>
      </c>
      <c r="T19" s="260">
        <v>4</v>
      </c>
      <c r="U19" s="243">
        <f t="shared" ref="U19:U24" si="16">+SUM(I19:S19)</f>
        <v>7745.46875</v>
      </c>
      <c r="V19" s="243">
        <f t="shared" si="4"/>
        <v>30981.875</v>
      </c>
      <c r="W19" s="457"/>
      <c r="X19" s="261"/>
      <c r="Y19" s="53"/>
      <c r="Z19" s="53"/>
    </row>
    <row r="20" spans="1:26" ht="18" customHeight="1">
      <c r="A20" s="368">
        <v>18</v>
      </c>
      <c r="B20" s="339">
        <v>9000692404</v>
      </c>
      <c r="C20" s="314" t="s">
        <v>36</v>
      </c>
      <c r="D20" s="260" t="s">
        <v>149</v>
      </c>
      <c r="E20" s="438">
        <v>40</v>
      </c>
      <c r="F20" s="433"/>
      <c r="G20" s="262">
        <v>100</v>
      </c>
      <c r="H20" s="263">
        <f t="shared" ref="H20" si="17">+E20*E20*3.14/4*G20*7.85/1000000</f>
        <v>0.98595999999999995</v>
      </c>
      <c r="I20" s="264">
        <f>+H20*90</f>
        <v>88.736399999999989</v>
      </c>
      <c r="J20" s="241">
        <v>180</v>
      </c>
      <c r="K20" s="241">
        <v>80</v>
      </c>
      <c r="L20" s="241">
        <v>0</v>
      </c>
      <c r="M20" s="241">
        <v>0</v>
      </c>
      <c r="N20" s="241">
        <v>20</v>
      </c>
      <c r="O20" s="241">
        <v>120</v>
      </c>
      <c r="P20" s="241">
        <v>0</v>
      </c>
      <c r="Q20" s="241">
        <v>0</v>
      </c>
      <c r="R20" s="241">
        <f>+H20*25</f>
        <v>24.648999999999997</v>
      </c>
      <c r="S20" s="242">
        <f t="shared" si="15"/>
        <v>128.34635</v>
      </c>
      <c r="T20" s="260">
        <v>2</v>
      </c>
      <c r="U20" s="243">
        <f t="shared" si="16"/>
        <v>641.73175000000003</v>
      </c>
      <c r="V20" s="243">
        <f t="shared" si="4"/>
        <v>1283.4635000000001</v>
      </c>
      <c r="W20" s="457"/>
      <c r="X20" s="261"/>
      <c r="Y20" s="53"/>
      <c r="Z20" s="53"/>
    </row>
    <row r="21" spans="1:26" ht="18" customHeight="1">
      <c r="A21" s="363">
        <v>19</v>
      </c>
      <c r="B21" s="110">
        <v>9000692703</v>
      </c>
      <c r="C21" s="310" t="s">
        <v>37</v>
      </c>
      <c r="D21" s="88" t="s">
        <v>149</v>
      </c>
      <c r="E21" s="439">
        <v>40</v>
      </c>
      <c r="F21" s="437"/>
      <c r="G21" s="89">
        <v>125</v>
      </c>
      <c r="H21" s="90">
        <f t="shared" ref="H21" si="18">+E21*E21*3.14/4*G21*7.85/1000000</f>
        <v>1.23245</v>
      </c>
      <c r="I21" s="91">
        <f>+H21*90</f>
        <v>110.9205</v>
      </c>
      <c r="J21" s="113">
        <v>200</v>
      </c>
      <c r="K21" s="113">
        <v>80</v>
      </c>
      <c r="L21" s="113">
        <v>0</v>
      </c>
      <c r="M21" s="113">
        <v>0</v>
      </c>
      <c r="N21" s="113">
        <v>20</v>
      </c>
      <c r="O21" s="113">
        <v>120</v>
      </c>
      <c r="P21" s="113">
        <v>0</v>
      </c>
      <c r="Q21" s="113">
        <v>0</v>
      </c>
      <c r="R21" s="113">
        <f>+H21*25</f>
        <v>30.811250000000001</v>
      </c>
      <c r="S21" s="118">
        <f t="shared" si="15"/>
        <v>140.43293749999998</v>
      </c>
      <c r="T21" s="88">
        <v>6</v>
      </c>
      <c r="U21" s="119">
        <f t="shared" si="16"/>
        <v>702.1646874999999</v>
      </c>
      <c r="V21" s="119">
        <f t="shared" si="4"/>
        <v>4212.9881249999999</v>
      </c>
      <c r="W21" s="458"/>
      <c r="X21" s="173"/>
      <c r="Y21" s="53"/>
      <c r="Z21" s="53"/>
    </row>
    <row r="22" spans="1:26" ht="18" customHeight="1">
      <c r="A22" s="363">
        <v>20</v>
      </c>
      <c r="B22" s="110">
        <v>9000700403</v>
      </c>
      <c r="C22" s="310" t="s">
        <v>38</v>
      </c>
      <c r="D22" s="88" t="s">
        <v>149</v>
      </c>
      <c r="E22" s="111">
        <v>165</v>
      </c>
      <c r="F22" s="111">
        <v>95</v>
      </c>
      <c r="G22" s="111">
        <v>12</v>
      </c>
      <c r="H22" s="112">
        <f t="shared" ref="H22:H23" si="19">+E22*F22*G22*7.85/1000000</f>
        <v>1.476585</v>
      </c>
      <c r="I22" s="113">
        <f>H22*90</f>
        <v>132.89265</v>
      </c>
      <c r="J22" s="113">
        <v>0</v>
      </c>
      <c r="K22" s="113">
        <v>160</v>
      </c>
      <c r="L22" s="113">
        <v>400</v>
      </c>
      <c r="M22" s="113">
        <v>0</v>
      </c>
      <c r="N22" s="113">
        <f>4*20</f>
        <v>80</v>
      </c>
      <c r="O22" s="113">
        <v>120</v>
      </c>
      <c r="P22" s="113">
        <v>0</v>
      </c>
      <c r="Q22" s="113">
        <v>0</v>
      </c>
      <c r="R22" s="113">
        <f>+H22*25</f>
        <v>36.914625000000001</v>
      </c>
      <c r="S22" s="118">
        <f t="shared" si="15"/>
        <v>232.45181875</v>
      </c>
      <c r="T22" s="88">
        <v>1</v>
      </c>
      <c r="U22" s="119">
        <f t="shared" si="16"/>
        <v>1162.2590937499999</v>
      </c>
      <c r="V22" s="119">
        <f t="shared" si="4"/>
        <v>1162.2590937499999</v>
      </c>
      <c r="W22" s="458"/>
      <c r="X22" s="180"/>
      <c r="Y22" s="79"/>
      <c r="Z22" s="80"/>
    </row>
    <row r="23" spans="1:26" ht="18" customHeight="1">
      <c r="A23" s="363">
        <v>21</v>
      </c>
      <c r="B23" s="110">
        <v>9000722603</v>
      </c>
      <c r="C23" s="310" t="s">
        <v>39</v>
      </c>
      <c r="D23" s="88" t="s">
        <v>159</v>
      </c>
      <c r="E23" s="111">
        <v>85</v>
      </c>
      <c r="F23" s="111">
        <v>125</v>
      </c>
      <c r="G23" s="111">
        <v>60</v>
      </c>
      <c r="H23" s="112">
        <f t="shared" si="19"/>
        <v>5.0043749999999996</v>
      </c>
      <c r="I23" s="113">
        <f>H23*100</f>
        <v>500.43749999999994</v>
      </c>
      <c r="J23" s="113">
        <v>0</v>
      </c>
      <c r="K23" s="113">
        <v>220</v>
      </c>
      <c r="L23" s="113">
        <v>1200</v>
      </c>
      <c r="M23" s="113">
        <v>0</v>
      </c>
      <c r="N23" s="113">
        <v>80</v>
      </c>
      <c r="O23" s="113">
        <v>0</v>
      </c>
      <c r="P23" s="113">
        <v>0</v>
      </c>
      <c r="Q23" s="113">
        <v>0</v>
      </c>
      <c r="R23" s="113">
        <f>+H23*25</f>
        <v>125.10937499999999</v>
      </c>
      <c r="S23" s="118">
        <f t="shared" si="15"/>
        <v>531.38671875</v>
      </c>
      <c r="T23" s="88">
        <v>16</v>
      </c>
      <c r="U23" s="119">
        <f t="shared" si="16"/>
        <v>2656.93359375</v>
      </c>
      <c r="V23" s="119">
        <f t="shared" si="4"/>
        <v>42510.9375</v>
      </c>
      <c r="W23" s="458"/>
      <c r="X23" s="173"/>
      <c r="Y23" s="53"/>
      <c r="Z23" s="53"/>
    </row>
    <row r="24" spans="1:26" ht="18" customHeight="1">
      <c r="A24" s="369">
        <v>22</v>
      </c>
      <c r="B24" s="340">
        <v>9000734304</v>
      </c>
      <c r="C24" s="315" t="s">
        <v>40</v>
      </c>
      <c r="D24" s="272" t="s">
        <v>149</v>
      </c>
      <c r="E24" s="273">
        <v>0</v>
      </c>
      <c r="F24" s="273">
        <v>0</v>
      </c>
      <c r="G24" s="273">
        <v>0</v>
      </c>
      <c r="H24" s="274">
        <v>43</v>
      </c>
      <c r="I24" s="275">
        <v>3855</v>
      </c>
      <c r="J24" s="113">
        <v>800</v>
      </c>
      <c r="K24" s="113">
        <v>1600</v>
      </c>
      <c r="L24" s="113">
        <v>3200</v>
      </c>
      <c r="M24" s="113">
        <v>0</v>
      </c>
      <c r="N24" s="113">
        <f>7*20</f>
        <v>140</v>
      </c>
      <c r="O24" s="113">
        <v>0</v>
      </c>
      <c r="P24" s="113">
        <v>0</v>
      </c>
      <c r="Q24" s="113">
        <f>43*60</f>
        <v>2580</v>
      </c>
      <c r="R24" s="113">
        <f>43*25</f>
        <v>1075</v>
      </c>
      <c r="S24" s="118">
        <f t="shared" si="15"/>
        <v>3312.5</v>
      </c>
      <c r="T24" s="210">
        <v>1</v>
      </c>
      <c r="U24" s="119">
        <f t="shared" si="16"/>
        <v>16562.5</v>
      </c>
      <c r="V24" s="119">
        <f t="shared" si="4"/>
        <v>16562.5</v>
      </c>
      <c r="W24" s="459"/>
      <c r="X24" s="276"/>
      <c r="Y24" s="66"/>
      <c r="Z24" s="66"/>
    </row>
    <row r="25" spans="1:26" ht="18" customHeight="1">
      <c r="A25" s="370">
        <v>23</v>
      </c>
      <c r="B25" s="341">
        <v>9000736504</v>
      </c>
      <c r="C25" s="316" t="s">
        <v>41</v>
      </c>
      <c r="D25" s="126" t="s">
        <v>149</v>
      </c>
      <c r="E25" s="127">
        <v>700</v>
      </c>
      <c r="F25" s="127">
        <v>100</v>
      </c>
      <c r="G25" s="127">
        <v>10</v>
      </c>
      <c r="H25" s="128">
        <f t="shared" ref="H25:H28" si="20">+E25*F25*G25*7.85/1000000</f>
        <v>5.4950000000000001</v>
      </c>
      <c r="I25" s="129">
        <f>H25*90</f>
        <v>494.55</v>
      </c>
      <c r="J25" s="129">
        <v>0</v>
      </c>
      <c r="K25" s="129">
        <v>0</v>
      </c>
      <c r="L25" s="129">
        <v>0</v>
      </c>
      <c r="M25" s="129">
        <v>0</v>
      </c>
      <c r="N25" s="129">
        <v>40</v>
      </c>
      <c r="O25" s="129">
        <v>0</v>
      </c>
      <c r="P25" s="129">
        <v>800</v>
      </c>
      <c r="Q25" s="129">
        <v>0</v>
      </c>
      <c r="R25" s="129">
        <f>+H25*25</f>
        <v>137.375</v>
      </c>
      <c r="S25" s="130">
        <f t="shared" ref="S25:S52" si="21">SUM(I25:R25)*25%</f>
        <v>367.98124999999999</v>
      </c>
      <c r="T25" s="86">
        <v>1</v>
      </c>
      <c r="U25" s="131">
        <v>1249</v>
      </c>
      <c r="V25" s="131">
        <f>U25*T25</f>
        <v>1249</v>
      </c>
      <c r="W25" s="460"/>
      <c r="X25" s="182"/>
      <c r="Y25" s="67"/>
      <c r="Z25" s="67"/>
    </row>
    <row r="26" spans="1:26" ht="18" customHeight="1">
      <c r="A26" s="371">
        <v>24</v>
      </c>
      <c r="B26" s="342">
        <v>9000745006</v>
      </c>
      <c r="C26" s="317" t="s">
        <v>42</v>
      </c>
      <c r="D26" s="132"/>
      <c r="E26" s="133">
        <v>0</v>
      </c>
      <c r="F26" s="133">
        <v>0</v>
      </c>
      <c r="G26" s="133">
        <v>0</v>
      </c>
      <c r="H26" s="134">
        <f t="shared" si="20"/>
        <v>0</v>
      </c>
      <c r="I26" s="135">
        <f t="shared" ref="I26" si="22">H26*200</f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35">
        <v>0</v>
      </c>
      <c r="R26" s="135">
        <v>200</v>
      </c>
      <c r="S26" s="136">
        <f t="shared" si="21"/>
        <v>50</v>
      </c>
      <c r="T26" s="132">
        <v>2</v>
      </c>
      <c r="U26" s="137">
        <f>+SUM(I26:S26)</f>
        <v>250</v>
      </c>
      <c r="V26" s="131">
        <f>U26*T26</f>
        <v>500</v>
      </c>
      <c r="W26" s="460"/>
      <c r="X26" s="183"/>
      <c r="Y26" s="68"/>
      <c r="Z26" s="68"/>
    </row>
    <row r="27" spans="1:26" ht="18" customHeight="1">
      <c r="A27" s="372">
        <v>25</v>
      </c>
      <c r="B27" s="343">
        <v>9000745203</v>
      </c>
      <c r="C27" s="318" t="s">
        <v>43</v>
      </c>
      <c r="D27" s="120" t="s">
        <v>149</v>
      </c>
      <c r="E27" s="121">
        <v>600</v>
      </c>
      <c r="F27" s="121">
        <v>150</v>
      </c>
      <c r="G27" s="121">
        <v>14</v>
      </c>
      <c r="H27" s="122">
        <f t="shared" si="20"/>
        <v>9.891</v>
      </c>
      <c r="I27" s="123">
        <f>+H27*90</f>
        <v>890.19</v>
      </c>
      <c r="J27" s="123">
        <v>0</v>
      </c>
      <c r="K27" s="123">
        <v>1200</v>
      </c>
      <c r="L27" s="123">
        <v>2400</v>
      </c>
      <c r="M27" s="123">
        <v>0</v>
      </c>
      <c r="N27" s="123">
        <v>120</v>
      </c>
      <c r="O27" s="123">
        <v>1200</v>
      </c>
      <c r="P27" s="123">
        <v>0</v>
      </c>
      <c r="Q27" s="123">
        <v>400</v>
      </c>
      <c r="R27" s="123">
        <f>+H27*25</f>
        <v>247.27500000000001</v>
      </c>
      <c r="S27" s="124">
        <f t="shared" si="21"/>
        <v>1614.36625</v>
      </c>
      <c r="T27" s="86">
        <v>10</v>
      </c>
      <c r="U27" s="137">
        <f>+SUM(I27:S27)</f>
        <v>8071.8312500000002</v>
      </c>
      <c r="V27" s="125">
        <f t="shared" ref="V27:V105" si="23">U27*T27</f>
        <v>80718.3125</v>
      </c>
      <c r="W27" s="461"/>
      <c r="X27" s="181"/>
      <c r="Y27" s="66"/>
      <c r="Z27" s="66"/>
    </row>
    <row r="28" spans="1:26" ht="18" customHeight="1">
      <c r="A28" s="373">
        <v>26</v>
      </c>
      <c r="B28" s="344">
        <v>9000746303</v>
      </c>
      <c r="C28" s="319" t="s">
        <v>44</v>
      </c>
      <c r="D28" s="265"/>
      <c r="E28" s="266">
        <v>0</v>
      </c>
      <c r="F28" s="266">
        <v>0</v>
      </c>
      <c r="G28" s="266">
        <v>0</v>
      </c>
      <c r="H28" s="267">
        <f t="shared" si="20"/>
        <v>0</v>
      </c>
      <c r="I28" s="268">
        <f t="shared" ref="I28" si="24">H28*Z27</f>
        <v>0</v>
      </c>
      <c r="J28" s="268">
        <v>0</v>
      </c>
      <c r="K28" s="268">
        <v>0</v>
      </c>
      <c r="L28" s="268">
        <v>0</v>
      </c>
      <c r="M28" s="268">
        <v>0</v>
      </c>
      <c r="N28" s="268">
        <v>0</v>
      </c>
      <c r="O28" s="268">
        <v>0</v>
      </c>
      <c r="P28" s="268">
        <v>0</v>
      </c>
      <c r="Q28" s="268">
        <v>0</v>
      </c>
      <c r="R28" s="268">
        <v>0</v>
      </c>
      <c r="S28" s="269">
        <f t="shared" si="21"/>
        <v>0</v>
      </c>
      <c r="T28" s="210">
        <v>1</v>
      </c>
      <c r="U28" s="270">
        <v>4000</v>
      </c>
      <c r="V28" s="270">
        <f t="shared" si="23"/>
        <v>4000</v>
      </c>
      <c r="W28" s="462"/>
      <c r="X28" s="271" t="s">
        <v>158</v>
      </c>
      <c r="Y28" s="69"/>
      <c r="Z28" s="69"/>
    </row>
    <row r="29" spans="1:26" ht="18" customHeight="1">
      <c r="A29" s="374">
        <v>27</v>
      </c>
      <c r="B29" s="345">
        <v>9000780902</v>
      </c>
      <c r="C29" s="320" t="s">
        <v>45</v>
      </c>
      <c r="D29" s="100" t="s">
        <v>161</v>
      </c>
      <c r="E29" s="436">
        <v>40</v>
      </c>
      <c r="F29" s="437"/>
      <c r="G29" s="101">
        <v>165</v>
      </c>
      <c r="H29" s="102">
        <f>+E29*E29*3.14/4*G29*7.85/1000000</f>
        <v>1.6268339999999999</v>
      </c>
      <c r="I29" s="143">
        <f>+H29*120</f>
        <v>195.22008</v>
      </c>
      <c r="J29" s="143">
        <v>550</v>
      </c>
      <c r="K29" s="143">
        <v>80</v>
      </c>
      <c r="L29" s="143">
        <v>0</v>
      </c>
      <c r="M29" s="143">
        <v>0</v>
      </c>
      <c r="N29" s="143">
        <v>0</v>
      </c>
      <c r="O29" s="143">
        <v>0</v>
      </c>
      <c r="P29" s="143">
        <v>0</v>
      </c>
      <c r="Q29" s="143">
        <v>0</v>
      </c>
      <c r="R29" s="143">
        <f>+H29*25</f>
        <v>40.670849999999994</v>
      </c>
      <c r="S29" s="144">
        <f t="shared" si="21"/>
        <v>216.47273250000001</v>
      </c>
      <c r="T29" s="100">
        <v>5</v>
      </c>
      <c r="U29" s="145">
        <f t="shared" ref="U29:U31" si="25">+SUM(I29:S29)</f>
        <v>1082.3636624999999</v>
      </c>
      <c r="V29" s="145">
        <f t="shared" si="23"/>
        <v>5411.8183124999996</v>
      </c>
      <c r="W29" s="463"/>
      <c r="X29" s="176"/>
      <c r="Y29" s="56"/>
      <c r="Z29" s="56"/>
    </row>
    <row r="30" spans="1:26" ht="18" customHeight="1">
      <c r="A30" s="374">
        <v>28</v>
      </c>
      <c r="B30" s="345">
        <v>9001245102</v>
      </c>
      <c r="C30" s="320" t="s">
        <v>46</v>
      </c>
      <c r="D30" s="100" t="s">
        <v>162</v>
      </c>
      <c r="E30" s="146">
        <v>450</v>
      </c>
      <c r="F30" s="146">
        <v>100</v>
      </c>
      <c r="G30" s="146">
        <v>6</v>
      </c>
      <c r="H30" s="147">
        <f>+E30*F30*G30*8.55/1000000</f>
        <v>2.3085</v>
      </c>
      <c r="I30" s="143">
        <f>+H30*320</f>
        <v>738.72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250</v>
      </c>
      <c r="Q30" s="143">
        <v>0</v>
      </c>
      <c r="R30" s="143">
        <v>100</v>
      </c>
      <c r="S30" s="144">
        <f t="shared" si="21"/>
        <v>272.18</v>
      </c>
      <c r="T30" s="100">
        <v>3</v>
      </c>
      <c r="U30" s="145">
        <f t="shared" si="25"/>
        <v>1360.9</v>
      </c>
      <c r="V30" s="145">
        <f t="shared" si="23"/>
        <v>4082.7000000000003</v>
      </c>
      <c r="W30" s="463"/>
      <c r="X30" s="176"/>
      <c r="Y30" s="56"/>
      <c r="Z30" s="56"/>
    </row>
    <row r="31" spans="1:26" ht="15" customHeight="1">
      <c r="A31" s="372">
        <v>29</v>
      </c>
      <c r="B31" s="343">
        <v>9001284403</v>
      </c>
      <c r="C31" s="318" t="s">
        <v>47</v>
      </c>
      <c r="D31" s="120" t="s">
        <v>149</v>
      </c>
      <c r="E31" s="121">
        <v>450</v>
      </c>
      <c r="F31" s="121">
        <v>105</v>
      </c>
      <c r="G31" s="121">
        <v>25</v>
      </c>
      <c r="H31" s="122">
        <f t="shared" ref="H31" si="26">+E31*F31*G31*7.85/1000000</f>
        <v>9.2728125000000006</v>
      </c>
      <c r="I31" s="123">
        <f>+H31*90</f>
        <v>834.55312500000002</v>
      </c>
      <c r="J31" s="123">
        <v>0</v>
      </c>
      <c r="K31" s="123">
        <v>800</v>
      </c>
      <c r="L31" s="123">
        <v>1200</v>
      </c>
      <c r="M31" s="123">
        <v>0</v>
      </c>
      <c r="N31" s="123">
        <v>0</v>
      </c>
      <c r="O31" s="123">
        <v>1200</v>
      </c>
      <c r="P31" s="123">
        <v>0</v>
      </c>
      <c r="Q31" s="123">
        <v>350</v>
      </c>
      <c r="R31" s="123">
        <f>+H31*25</f>
        <v>231.8203125</v>
      </c>
      <c r="S31" s="124">
        <f t="shared" si="21"/>
        <v>1154.0933593750001</v>
      </c>
      <c r="T31" s="86">
        <v>4</v>
      </c>
      <c r="U31" s="145">
        <f t="shared" si="25"/>
        <v>5770.466796875</v>
      </c>
      <c r="V31" s="145">
        <f t="shared" si="23"/>
        <v>23081.8671875</v>
      </c>
      <c r="W31" s="463"/>
      <c r="X31" s="181"/>
      <c r="Y31" s="66"/>
      <c r="Z31" s="66"/>
    </row>
    <row r="32" spans="1:26" ht="18" customHeight="1">
      <c r="A32" s="368">
        <v>30</v>
      </c>
      <c r="B32" s="339">
        <v>9001293301</v>
      </c>
      <c r="C32" s="314" t="s">
        <v>48</v>
      </c>
      <c r="D32" s="260" t="s">
        <v>149</v>
      </c>
      <c r="E32" s="438">
        <v>14</v>
      </c>
      <c r="F32" s="433"/>
      <c r="G32" s="262">
        <v>210</v>
      </c>
      <c r="H32" s="263">
        <f>+E32*E32*3.14/4*G32*7.85/1000000</f>
        <v>0.25363820999999998</v>
      </c>
      <c r="I32" s="264">
        <f>H32*100</f>
        <v>25.363820999999998</v>
      </c>
      <c r="J32" s="241">
        <v>160</v>
      </c>
      <c r="K32" s="241">
        <v>0</v>
      </c>
      <c r="L32" s="241">
        <v>80</v>
      </c>
      <c r="M32" s="241">
        <v>0</v>
      </c>
      <c r="N32" s="241">
        <v>0</v>
      </c>
      <c r="O32" s="241">
        <v>0</v>
      </c>
      <c r="P32" s="241">
        <v>0</v>
      </c>
      <c r="Q32" s="241">
        <v>0</v>
      </c>
      <c r="R32" s="241">
        <v>20</v>
      </c>
      <c r="S32" s="242">
        <f t="shared" si="21"/>
        <v>71.340955250000007</v>
      </c>
      <c r="T32" s="210">
        <v>8</v>
      </c>
      <c r="U32" s="243">
        <f t="shared" ref="U32:U43" si="27">+SUM(I32:S32)</f>
        <v>356.70477625000001</v>
      </c>
      <c r="V32" s="243">
        <f t="shared" si="23"/>
        <v>2853.6382100000001</v>
      </c>
      <c r="W32" s="457"/>
      <c r="X32" s="261" t="s">
        <v>158</v>
      </c>
      <c r="Y32" s="53"/>
      <c r="Z32" s="53"/>
    </row>
    <row r="33" spans="1:26" ht="18" customHeight="1">
      <c r="A33" s="362">
        <v>31</v>
      </c>
      <c r="B33" s="104">
        <v>9001300304</v>
      </c>
      <c r="C33" s="308" t="s">
        <v>49</v>
      </c>
      <c r="D33" s="81" t="s">
        <v>149</v>
      </c>
      <c r="E33" s="105">
        <v>375</v>
      </c>
      <c r="F33" s="105">
        <v>200</v>
      </c>
      <c r="G33" s="105">
        <v>16</v>
      </c>
      <c r="H33" s="106">
        <f t="shared" ref="H33:H40" si="28">+E33*F33*G33*7.85/1000000</f>
        <v>9.42</v>
      </c>
      <c r="I33" s="84">
        <f>H33*90</f>
        <v>847.8</v>
      </c>
      <c r="J33" s="107">
        <v>0</v>
      </c>
      <c r="K33" s="107">
        <v>650</v>
      </c>
      <c r="L33" s="107">
        <v>1200</v>
      </c>
      <c r="M33" s="107">
        <v>50</v>
      </c>
      <c r="N33" s="107">
        <f>8*20</f>
        <v>160</v>
      </c>
      <c r="O33" s="107">
        <v>0</v>
      </c>
      <c r="P33" s="107">
        <v>0</v>
      </c>
      <c r="Q33" s="107">
        <v>0</v>
      </c>
      <c r="R33" s="107">
        <f>+H33*25</f>
        <v>235.5</v>
      </c>
      <c r="S33" s="108">
        <f t="shared" si="21"/>
        <v>785.82500000000005</v>
      </c>
      <c r="T33" s="86">
        <v>1</v>
      </c>
      <c r="U33" s="109">
        <f t="shared" si="27"/>
        <v>3929.125</v>
      </c>
      <c r="V33" s="109">
        <f t="shared" si="23"/>
        <v>3929.125</v>
      </c>
      <c r="W33" s="456"/>
      <c r="X33" s="175"/>
      <c r="Y33" s="55"/>
      <c r="Z33" s="55"/>
    </row>
    <row r="34" spans="1:26" ht="18" customHeight="1">
      <c r="A34" s="363">
        <v>32</v>
      </c>
      <c r="B34" s="110">
        <v>9001301502</v>
      </c>
      <c r="C34" s="310" t="s">
        <v>50</v>
      </c>
      <c r="D34" s="88" t="s">
        <v>163</v>
      </c>
      <c r="E34" s="111">
        <v>55</v>
      </c>
      <c r="F34" s="111">
        <v>30</v>
      </c>
      <c r="G34" s="111">
        <v>20</v>
      </c>
      <c r="H34" s="112">
        <f>+E34*F34*G34*1.77/1000000</f>
        <v>5.8409999999999997E-2</v>
      </c>
      <c r="I34" s="113">
        <f>H34*800</f>
        <v>46.727999999999994</v>
      </c>
      <c r="J34" s="113">
        <v>0</v>
      </c>
      <c r="K34" s="113">
        <v>100</v>
      </c>
      <c r="L34" s="113">
        <v>0</v>
      </c>
      <c r="M34" s="113">
        <v>80</v>
      </c>
      <c r="N34" s="113">
        <v>0</v>
      </c>
      <c r="O34" s="113">
        <v>0</v>
      </c>
      <c r="P34" s="113">
        <v>0</v>
      </c>
      <c r="Q34" s="113">
        <v>0</v>
      </c>
      <c r="R34" s="113">
        <v>0</v>
      </c>
      <c r="S34" s="118">
        <f t="shared" si="21"/>
        <v>56.682000000000002</v>
      </c>
      <c r="T34" s="86">
        <v>2</v>
      </c>
      <c r="U34" s="119">
        <f t="shared" si="27"/>
        <v>283.41000000000003</v>
      </c>
      <c r="V34" s="119">
        <f t="shared" si="23"/>
        <v>566.82000000000005</v>
      </c>
      <c r="W34" s="458"/>
      <c r="X34" s="173"/>
      <c r="Y34" s="53"/>
      <c r="Z34" s="53"/>
    </row>
    <row r="35" spans="1:26" ht="18" customHeight="1">
      <c r="A35" s="375">
        <v>33</v>
      </c>
      <c r="B35" s="303">
        <v>9001301702</v>
      </c>
      <c r="C35" s="305" t="s">
        <v>51</v>
      </c>
      <c r="D35" s="281"/>
      <c r="E35" s="282">
        <v>0</v>
      </c>
      <c r="F35" s="282">
        <v>0</v>
      </c>
      <c r="G35" s="282">
        <v>0</v>
      </c>
      <c r="H35" s="283">
        <f t="shared" si="28"/>
        <v>0</v>
      </c>
      <c r="I35" s="284">
        <f t="shared" ref="I35" si="29">H35*200</f>
        <v>0</v>
      </c>
      <c r="J35" s="284">
        <v>0</v>
      </c>
      <c r="K35" s="284">
        <v>0</v>
      </c>
      <c r="L35" s="284">
        <v>0</v>
      </c>
      <c r="M35" s="284">
        <v>0</v>
      </c>
      <c r="N35" s="284">
        <v>0</v>
      </c>
      <c r="O35" s="284">
        <v>0</v>
      </c>
      <c r="P35" s="284">
        <v>0</v>
      </c>
      <c r="Q35" s="284">
        <v>0</v>
      </c>
      <c r="R35" s="284">
        <v>0</v>
      </c>
      <c r="S35" s="285">
        <f t="shared" si="21"/>
        <v>0</v>
      </c>
      <c r="T35" s="279">
        <v>4</v>
      </c>
      <c r="U35" s="286">
        <f t="shared" si="27"/>
        <v>0</v>
      </c>
      <c r="V35" s="286">
        <f t="shared" si="23"/>
        <v>0</v>
      </c>
      <c r="W35" s="287" t="s">
        <v>164</v>
      </c>
      <c r="X35" s="287"/>
      <c r="Y35" s="70"/>
      <c r="Z35" s="70"/>
    </row>
    <row r="36" spans="1:26" ht="18" customHeight="1">
      <c r="A36" s="363">
        <v>34</v>
      </c>
      <c r="B36" s="110">
        <v>9001309502</v>
      </c>
      <c r="C36" s="310" t="s">
        <v>52</v>
      </c>
      <c r="D36" s="88" t="s">
        <v>165</v>
      </c>
      <c r="E36" s="111">
        <v>80</v>
      </c>
      <c r="F36" s="111">
        <v>20</v>
      </c>
      <c r="G36" s="111">
        <v>20</v>
      </c>
      <c r="H36" s="112">
        <f t="shared" si="28"/>
        <v>0.25119999999999998</v>
      </c>
      <c r="I36" s="113">
        <f>H36*120</f>
        <v>30.143999999999998</v>
      </c>
      <c r="J36" s="113">
        <v>0</v>
      </c>
      <c r="K36" s="113">
        <v>200</v>
      </c>
      <c r="L36" s="113">
        <v>0</v>
      </c>
      <c r="M36" s="113">
        <f>6*25</f>
        <v>150</v>
      </c>
      <c r="N36" s="113">
        <v>0</v>
      </c>
      <c r="O36" s="113">
        <v>0</v>
      </c>
      <c r="P36" s="113">
        <v>0</v>
      </c>
      <c r="Q36" s="113">
        <v>25</v>
      </c>
      <c r="R36" s="113">
        <f>+H36*25</f>
        <v>6.2799999999999994</v>
      </c>
      <c r="S36" s="118">
        <f t="shared" si="21"/>
        <v>102.85599999999999</v>
      </c>
      <c r="T36" s="86">
        <v>64</v>
      </c>
      <c r="U36" s="119">
        <f t="shared" si="27"/>
        <v>514.28</v>
      </c>
      <c r="V36" s="119">
        <f t="shared" si="23"/>
        <v>32913.919999999998</v>
      </c>
      <c r="W36" s="458"/>
      <c r="X36" s="173"/>
      <c r="Y36" s="53"/>
      <c r="Z36" s="53"/>
    </row>
    <row r="37" spans="1:26" ht="18" customHeight="1">
      <c r="A37" s="363">
        <v>35</v>
      </c>
      <c r="B37" s="110">
        <v>9001312101</v>
      </c>
      <c r="C37" s="310" t="s">
        <v>53</v>
      </c>
      <c r="D37" s="88" t="s">
        <v>149</v>
      </c>
      <c r="E37" s="111">
        <v>555</v>
      </c>
      <c r="F37" s="111">
        <v>165</v>
      </c>
      <c r="G37" s="111">
        <v>18</v>
      </c>
      <c r="H37" s="112">
        <f t="shared" si="28"/>
        <v>12.9395475</v>
      </c>
      <c r="I37" s="113">
        <f>H37*90</f>
        <v>1164.5592750000001</v>
      </c>
      <c r="J37" s="113">
        <v>0</v>
      </c>
      <c r="K37" s="113">
        <v>650</v>
      </c>
      <c r="L37" s="113">
        <f>6*400</f>
        <v>2400</v>
      </c>
      <c r="M37" s="113">
        <v>0</v>
      </c>
      <c r="N37" s="113">
        <f>16*20</f>
        <v>320</v>
      </c>
      <c r="O37" s="113">
        <v>0</v>
      </c>
      <c r="P37" s="113">
        <v>0</v>
      </c>
      <c r="Q37" s="113">
        <v>0</v>
      </c>
      <c r="R37" s="113">
        <f>+H37*25</f>
        <v>323.48868749999997</v>
      </c>
      <c r="S37" s="118">
        <f t="shared" si="21"/>
        <v>1214.511990625</v>
      </c>
      <c r="T37" s="86">
        <v>7</v>
      </c>
      <c r="U37" s="119">
        <f t="shared" si="27"/>
        <v>6072.559953125</v>
      </c>
      <c r="V37" s="119">
        <f t="shared" si="23"/>
        <v>42507.919671875003</v>
      </c>
      <c r="W37" s="458"/>
      <c r="X37" s="173"/>
      <c r="Y37" s="53"/>
      <c r="Z37" s="53"/>
    </row>
    <row r="38" spans="1:26" ht="18" customHeight="1">
      <c r="A38" s="363">
        <v>36</v>
      </c>
      <c r="B38" s="110">
        <v>9001312202</v>
      </c>
      <c r="C38" s="310" t="s">
        <v>54</v>
      </c>
      <c r="D38" s="88" t="s">
        <v>166</v>
      </c>
      <c r="E38" s="111">
        <v>122</v>
      </c>
      <c r="F38" s="111">
        <v>40</v>
      </c>
      <c r="G38" s="111">
        <v>55</v>
      </c>
      <c r="H38" s="112">
        <f>+E38*F38*G38*2.77/1000000</f>
        <v>0.74346800000000002</v>
      </c>
      <c r="I38" s="113">
        <f>H38*450</f>
        <v>334.56060000000002</v>
      </c>
      <c r="J38" s="113">
        <v>0</v>
      </c>
      <c r="K38" s="113">
        <v>150</v>
      </c>
      <c r="L38" s="113">
        <v>0</v>
      </c>
      <c r="M38" s="113">
        <f>6*25</f>
        <v>150</v>
      </c>
      <c r="N38" s="113">
        <v>0</v>
      </c>
      <c r="O38" s="113">
        <v>0</v>
      </c>
      <c r="P38" s="113">
        <v>0</v>
      </c>
      <c r="Q38" s="113">
        <v>0</v>
      </c>
      <c r="R38" s="113">
        <f>+H38*150</f>
        <v>111.5202</v>
      </c>
      <c r="S38" s="118">
        <f t="shared" si="21"/>
        <v>186.52020000000002</v>
      </c>
      <c r="T38" s="86">
        <v>7</v>
      </c>
      <c r="U38" s="119">
        <f t="shared" si="27"/>
        <v>932.60100000000011</v>
      </c>
      <c r="V38" s="119">
        <f t="shared" si="23"/>
        <v>6528.2070000000003</v>
      </c>
      <c r="W38" s="458"/>
      <c r="X38" s="173"/>
      <c r="Y38" s="53"/>
      <c r="Z38" s="53"/>
    </row>
    <row r="39" spans="1:26" ht="18" customHeight="1">
      <c r="A39" s="363">
        <v>37</v>
      </c>
      <c r="B39" s="110">
        <v>9001312302</v>
      </c>
      <c r="C39" s="310" t="s">
        <v>55</v>
      </c>
      <c r="D39" s="88" t="s">
        <v>166</v>
      </c>
      <c r="E39" s="111">
        <v>122</v>
      </c>
      <c r="F39" s="111">
        <v>70</v>
      </c>
      <c r="G39" s="111">
        <v>40</v>
      </c>
      <c r="H39" s="112">
        <f>+E39*F39*G39*2.77/1000000</f>
        <v>0.94623199999999996</v>
      </c>
      <c r="I39" s="113">
        <f>H39*450</f>
        <v>425.80439999999999</v>
      </c>
      <c r="J39" s="113">
        <v>0</v>
      </c>
      <c r="K39" s="113">
        <v>220</v>
      </c>
      <c r="L39" s="113">
        <v>0</v>
      </c>
      <c r="M39" s="113">
        <f>9*25</f>
        <v>225</v>
      </c>
      <c r="N39" s="113">
        <v>60</v>
      </c>
      <c r="O39" s="113">
        <v>0</v>
      </c>
      <c r="P39" s="113">
        <v>0</v>
      </c>
      <c r="Q39" s="113">
        <v>0</v>
      </c>
      <c r="R39" s="113">
        <f>+H39*150</f>
        <v>141.9348</v>
      </c>
      <c r="S39" s="118">
        <f t="shared" si="21"/>
        <v>268.1848</v>
      </c>
      <c r="T39" s="86">
        <v>7</v>
      </c>
      <c r="U39" s="119">
        <f t="shared" si="27"/>
        <v>1340.924</v>
      </c>
      <c r="V39" s="119">
        <f t="shared" si="23"/>
        <v>9386.4680000000008</v>
      </c>
      <c r="W39" s="458"/>
      <c r="X39" s="173"/>
      <c r="Y39" s="53"/>
      <c r="Z39" s="53"/>
    </row>
    <row r="40" spans="1:26" ht="18" customHeight="1">
      <c r="A40" s="363">
        <v>38</v>
      </c>
      <c r="B40" s="110">
        <v>9001312402</v>
      </c>
      <c r="C40" s="310" t="s">
        <v>56</v>
      </c>
      <c r="D40" s="88" t="s">
        <v>149</v>
      </c>
      <c r="E40" s="111">
        <v>265</v>
      </c>
      <c r="F40" s="111">
        <v>78</v>
      </c>
      <c r="G40" s="111">
        <v>25</v>
      </c>
      <c r="H40" s="112">
        <f t="shared" si="28"/>
        <v>4.0564875000000002</v>
      </c>
      <c r="I40" s="113">
        <f>H40*90</f>
        <v>365.08387500000003</v>
      </c>
      <c r="J40" s="113">
        <v>0</v>
      </c>
      <c r="K40" s="113">
        <v>350</v>
      </c>
      <c r="L40" s="113">
        <v>200</v>
      </c>
      <c r="M40" s="113">
        <v>0</v>
      </c>
      <c r="N40" s="113">
        <v>60</v>
      </c>
      <c r="O40" s="113">
        <v>0</v>
      </c>
      <c r="P40" s="113">
        <v>0</v>
      </c>
      <c r="Q40" s="113">
        <v>0</v>
      </c>
      <c r="R40" s="113">
        <f>+H40*25</f>
        <v>101.4121875</v>
      </c>
      <c r="S40" s="118">
        <f t="shared" si="21"/>
        <v>269.12401562500003</v>
      </c>
      <c r="T40" s="86">
        <v>14</v>
      </c>
      <c r="U40" s="119">
        <f t="shared" si="27"/>
        <v>1345.6200781250002</v>
      </c>
      <c r="V40" s="119">
        <f t="shared" si="23"/>
        <v>18838.681093750001</v>
      </c>
      <c r="W40" s="458"/>
      <c r="X40" s="173"/>
      <c r="Y40" s="53"/>
      <c r="Z40" s="53"/>
    </row>
    <row r="41" spans="1:26" ht="18" customHeight="1">
      <c r="A41" s="363">
        <v>39</v>
      </c>
      <c r="B41" s="110">
        <v>9001312501</v>
      </c>
      <c r="C41" s="310" t="s">
        <v>57</v>
      </c>
      <c r="D41" s="88" t="s">
        <v>149</v>
      </c>
      <c r="E41" s="439">
        <v>20</v>
      </c>
      <c r="F41" s="437"/>
      <c r="G41" s="89">
        <v>145</v>
      </c>
      <c r="H41" s="90">
        <f>+E41*E41*3.14/4*G41*7.85/1000000</f>
        <v>0.35741050000000002</v>
      </c>
      <c r="I41" s="113">
        <f>H41*100</f>
        <v>35.741050000000001</v>
      </c>
      <c r="J41" s="113">
        <v>250</v>
      </c>
      <c r="K41" s="113">
        <v>80</v>
      </c>
      <c r="L41" s="113">
        <v>0</v>
      </c>
      <c r="M41" s="113">
        <v>0</v>
      </c>
      <c r="N41" s="113">
        <v>0</v>
      </c>
      <c r="O41" s="113">
        <v>0</v>
      </c>
      <c r="P41" s="113">
        <v>0</v>
      </c>
      <c r="Q41" s="113">
        <v>0</v>
      </c>
      <c r="R41" s="113">
        <f>+H41*25</f>
        <v>8.9352625000000003</v>
      </c>
      <c r="S41" s="118">
        <f t="shared" si="21"/>
        <v>93.669078124999999</v>
      </c>
      <c r="T41" s="86">
        <v>7</v>
      </c>
      <c r="U41" s="119">
        <f t="shared" si="27"/>
        <v>468.34539062499999</v>
      </c>
      <c r="V41" s="119">
        <f t="shared" si="23"/>
        <v>3278.4177343749998</v>
      </c>
      <c r="W41" s="458"/>
      <c r="X41" s="173"/>
      <c r="Y41" s="53"/>
      <c r="Z41" s="53"/>
    </row>
    <row r="42" spans="1:26" ht="18" customHeight="1">
      <c r="A42" s="363">
        <v>40</v>
      </c>
      <c r="B42" s="110">
        <v>9001312603</v>
      </c>
      <c r="C42" s="310" t="s">
        <v>58</v>
      </c>
      <c r="D42" s="88" t="s">
        <v>149</v>
      </c>
      <c r="E42" s="111">
        <v>275</v>
      </c>
      <c r="F42" s="111">
        <v>40</v>
      </c>
      <c r="G42" s="111">
        <v>40</v>
      </c>
      <c r="H42" s="112">
        <f t="shared" ref="H42:H44" si="30">+E42*F42*G42*7.85/1000000</f>
        <v>3.4540000000000002</v>
      </c>
      <c r="I42" s="113">
        <f>H42*90</f>
        <v>310.86</v>
      </c>
      <c r="J42" s="113">
        <v>0</v>
      </c>
      <c r="K42" s="113">
        <v>450</v>
      </c>
      <c r="L42" s="113">
        <v>0</v>
      </c>
      <c r="M42" s="113">
        <f>4*25</f>
        <v>100</v>
      </c>
      <c r="N42" s="113">
        <v>0</v>
      </c>
      <c r="O42" s="113">
        <v>0</v>
      </c>
      <c r="P42" s="113">
        <v>0</v>
      </c>
      <c r="Q42" s="113">
        <v>0</v>
      </c>
      <c r="R42" s="113">
        <f>+H42*25</f>
        <v>86.350000000000009</v>
      </c>
      <c r="S42" s="118">
        <f t="shared" si="21"/>
        <v>236.80250000000001</v>
      </c>
      <c r="T42" s="86">
        <v>7</v>
      </c>
      <c r="U42" s="119">
        <f t="shared" si="27"/>
        <v>1184.0125</v>
      </c>
      <c r="V42" s="119">
        <f t="shared" si="23"/>
        <v>8288.0874999999996</v>
      </c>
      <c r="W42" s="458"/>
      <c r="X42" s="173"/>
      <c r="Y42" s="53"/>
      <c r="Z42" s="53"/>
    </row>
    <row r="43" spans="1:26" ht="18" customHeight="1">
      <c r="A43" s="376">
        <v>41</v>
      </c>
      <c r="B43" s="346">
        <v>9001312702</v>
      </c>
      <c r="C43" s="321" t="s">
        <v>59</v>
      </c>
      <c r="D43" s="288"/>
      <c r="E43" s="289">
        <v>0</v>
      </c>
      <c r="F43" s="289">
        <v>0</v>
      </c>
      <c r="G43" s="289">
        <v>0</v>
      </c>
      <c r="H43" s="290">
        <f t="shared" si="30"/>
        <v>0</v>
      </c>
      <c r="I43" s="291">
        <f t="shared" ref="I43:I44" si="31">H43*Z42</f>
        <v>0</v>
      </c>
      <c r="J43" s="291">
        <v>0</v>
      </c>
      <c r="K43" s="291">
        <v>0</v>
      </c>
      <c r="L43" s="291">
        <v>0</v>
      </c>
      <c r="M43" s="291">
        <v>0</v>
      </c>
      <c r="N43" s="291">
        <v>0</v>
      </c>
      <c r="O43" s="291">
        <v>0</v>
      </c>
      <c r="P43" s="291">
        <v>0</v>
      </c>
      <c r="Q43" s="291">
        <v>0</v>
      </c>
      <c r="R43" s="291">
        <v>0</v>
      </c>
      <c r="S43" s="292">
        <f t="shared" si="21"/>
        <v>0</v>
      </c>
      <c r="T43" s="279">
        <v>60</v>
      </c>
      <c r="U43" s="293">
        <f t="shared" si="27"/>
        <v>0</v>
      </c>
      <c r="V43" s="293">
        <f t="shared" si="23"/>
        <v>0</v>
      </c>
      <c r="W43" s="294" t="s">
        <v>164</v>
      </c>
      <c r="X43" s="294"/>
      <c r="Y43" s="54"/>
      <c r="Z43" s="54"/>
    </row>
    <row r="44" spans="1:26" ht="18" customHeight="1">
      <c r="A44" s="368">
        <v>42</v>
      </c>
      <c r="B44" s="339">
        <v>9001317602</v>
      </c>
      <c r="C44" s="314" t="s">
        <v>60</v>
      </c>
      <c r="D44" s="260" t="s">
        <v>149</v>
      </c>
      <c r="E44" s="239">
        <v>0</v>
      </c>
      <c r="F44" s="239">
        <v>0</v>
      </c>
      <c r="G44" s="239">
        <v>0</v>
      </c>
      <c r="H44" s="240">
        <f t="shared" si="30"/>
        <v>0</v>
      </c>
      <c r="I44" s="241">
        <f t="shared" si="31"/>
        <v>0</v>
      </c>
      <c r="J44" s="241">
        <v>0</v>
      </c>
      <c r="K44" s="241">
        <v>0</v>
      </c>
      <c r="L44" s="241">
        <v>0</v>
      </c>
      <c r="M44" s="241">
        <v>0</v>
      </c>
      <c r="N44" s="241">
        <v>0</v>
      </c>
      <c r="O44" s="241">
        <v>0</v>
      </c>
      <c r="P44" s="241">
        <v>0</v>
      </c>
      <c r="Q44" s="241">
        <v>0</v>
      </c>
      <c r="R44" s="241">
        <v>0</v>
      </c>
      <c r="S44" s="242">
        <f t="shared" si="21"/>
        <v>0</v>
      </c>
      <c r="T44" s="210">
        <v>2</v>
      </c>
      <c r="U44" s="243">
        <v>4000</v>
      </c>
      <c r="V44" s="243">
        <f t="shared" si="23"/>
        <v>8000</v>
      </c>
      <c r="W44" s="457"/>
      <c r="X44" s="261" t="s">
        <v>158</v>
      </c>
      <c r="Y44" s="53"/>
      <c r="Z44" s="53"/>
    </row>
    <row r="45" spans="1:26" ht="18" customHeight="1">
      <c r="A45" s="363">
        <v>43</v>
      </c>
      <c r="B45" s="110">
        <v>9001317702</v>
      </c>
      <c r="C45" s="310" t="s">
        <v>61</v>
      </c>
      <c r="D45" s="88" t="s">
        <v>149</v>
      </c>
      <c r="E45" s="111">
        <f>110+45</f>
        <v>155</v>
      </c>
      <c r="F45" s="111">
        <v>65</v>
      </c>
      <c r="G45" s="111">
        <v>10</v>
      </c>
      <c r="H45" s="112">
        <f t="shared" ref="H45" si="32">+E45*F45*G45*7.85/1000000</f>
        <v>0.79088749999999997</v>
      </c>
      <c r="I45" s="113">
        <f>H45*90</f>
        <v>71.179874999999996</v>
      </c>
      <c r="J45" s="113">
        <v>0</v>
      </c>
      <c r="K45" s="113">
        <v>220</v>
      </c>
      <c r="L45" s="113">
        <v>200</v>
      </c>
      <c r="M45" s="113">
        <v>0</v>
      </c>
      <c r="N45" s="113">
        <v>0</v>
      </c>
      <c r="O45" s="113">
        <v>0</v>
      </c>
      <c r="P45" s="113">
        <v>0</v>
      </c>
      <c r="Q45" s="113">
        <v>120</v>
      </c>
      <c r="R45" s="113">
        <f>+H45*25</f>
        <v>19.772187499999998</v>
      </c>
      <c r="S45" s="118">
        <f t="shared" si="21"/>
        <v>157.738015625</v>
      </c>
      <c r="T45" s="86">
        <v>2</v>
      </c>
      <c r="U45" s="119">
        <f t="shared" ref="U45:U49" si="33">+SUM(I45:S45)</f>
        <v>788.69007812500001</v>
      </c>
      <c r="V45" s="119">
        <f t="shared" si="23"/>
        <v>1577.38015625</v>
      </c>
      <c r="W45" s="458"/>
      <c r="X45" s="173"/>
      <c r="Y45" s="53"/>
      <c r="Z45" s="53"/>
    </row>
    <row r="46" spans="1:26" ht="18" customHeight="1">
      <c r="A46" s="377">
        <v>44</v>
      </c>
      <c r="B46" s="347">
        <v>9001690802</v>
      </c>
      <c r="C46" s="322" t="s">
        <v>62</v>
      </c>
      <c r="D46" s="295"/>
      <c r="E46" s="296">
        <v>0</v>
      </c>
      <c r="F46" s="296">
        <v>0</v>
      </c>
      <c r="G46" s="296">
        <v>0</v>
      </c>
      <c r="H46" s="297">
        <f t="shared" ref="H46:H50" si="34">+E46*F46*G46*7.85/1000000</f>
        <v>0</v>
      </c>
      <c r="I46" s="298">
        <f>H46*Z45</f>
        <v>0</v>
      </c>
      <c r="J46" s="298">
        <v>0</v>
      </c>
      <c r="K46" s="298">
        <v>0</v>
      </c>
      <c r="L46" s="298">
        <v>0</v>
      </c>
      <c r="M46" s="298">
        <v>0</v>
      </c>
      <c r="N46" s="298">
        <v>0</v>
      </c>
      <c r="O46" s="298">
        <v>0</v>
      </c>
      <c r="P46" s="298">
        <v>0</v>
      </c>
      <c r="Q46" s="298">
        <v>0</v>
      </c>
      <c r="R46" s="298">
        <v>0</v>
      </c>
      <c r="S46" s="299">
        <f t="shared" si="21"/>
        <v>0</v>
      </c>
      <c r="T46" s="279">
        <v>1</v>
      </c>
      <c r="U46" s="300">
        <f t="shared" si="33"/>
        <v>0</v>
      </c>
      <c r="V46" s="300">
        <f t="shared" si="23"/>
        <v>0</v>
      </c>
      <c r="W46" s="301" t="s">
        <v>167</v>
      </c>
      <c r="X46" s="301"/>
      <c r="Y46" s="66"/>
      <c r="Z46" s="66"/>
    </row>
    <row r="47" spans="1:26" ht="18" customHeight="1">
      <c r="A47" s="363">
        <v>45</v>
      </c>
      <c r="B47" s="110">
        <v>9001694802</v>
      </c>
      <c r="C47" s="310" t="s">
        <v>63</v>
      </c>
      <c r="D47" s="88" t="s">
        <v>149</v>
      </c>
      <c r="E47" s="111">
        <v>287</v>
      </c>
      <c r="F47" s="111">
        <v>207</v>
      </c>
      <c r="G47" s="111">
        <v>15</v>
      </c>
      <c r="H47" s="112">
        <f t="shared" si="34"/>
        <v>6.9954097500000003</v>
      </c>
      <c r="I47" s="113">
        <f>H47*90</f>
        <v>629.58687750000001</v>
      </c>
      <c r="J47" s="113">
        <v>0</v>
      </c>
      <c r="K47" s="113">
        <v>450</v>
      </c>
      <c r="L47" s="113">
        <v>1200</v>
      </c>
      <c r="M47" s="113">
        <f>6*25</f>
        <v>150</v>
      </c>
      <c r="N47" s="113">
        <f>10*25</f>
        <v>250</v>
      </c>
      <c r="O47" s="113">
        <f>28*20*0.5</f>
        <v>280</v>
      </c>
      <c r="P47" s="113">
        <v>0</v>
      </c>
      <c r="Q47" s="113">
        <v>0</v>
      </c>
      <c r="R47" s="113">
        <f>+H47*25</f>
        <v>174.88524375</v>
      </c>
      <c r="S47" s="118">
        <f t="shared" si="21"/>
        <v>783.61803031249997</v>
      </c>
      <c r="T47" s="86">
        <v>1</v>
      </c>
      <c r="U47" s="119">
        <f t="shared" si="33"/>
        <v>3918.0901515625001</v>
      </c>
      <c r="V47" s="119">
        <f t="shared" si="23"/>
        <v>3918.0901515625001</v>
      </c>
      <c r="W47" s="458"/>
      <c r="X47" s="173"/>
      <c r="Y47" s="53"/>
      <c r="Z47" s="53"/>
    </row>
    <row r="48" spans="1:26" ht="18" customHeight="1">
      <c r="A48" s="363">
        <v>46</v>
      </c>
      <c r="B48" s="110">
        <v>9001721601</v>
      </c>
      <c r="C48" s="310" t="s">
        <v>64</v>
      </c>
      <c r="D48" s="88" t="s">
        <v>149</v>
      </c>
      <c r="E48" s="111">
        <v>75</v>
      </c>
      <c r="F48" s="111">
        <v>85</v>
      </c>
      <c r="G48" s="111">
        <v>30</v>
      </c>
      <c r="H48" s="112">
        <f t="shared" si="34"/>
        <v>1.5013125</v>
      </c>
      <c r="I48" s="113">
        <f>H48*90</f>
        <v>135.11812499999999</v>
      </c>
      <c r="J48" s="113">
        <v>0</v>
      </c>
      <c r="K48" s="113">
        <v>250</v>
      </c>
      <c r="L48" s="113">
        <v>0</v>
      </c>
      <c r="M48" s="113">
        <f>10*25</f>
        <v>250</v>
      </c>
      <c r="N48" s="113">
        <v>40</v>
      </c>
      <c r="O48" s="113">
        <v>0</v>
      </c>
      <c r="P48" s="113">
        <v>0</v>
      </c>
      <c r="Q48" s="113">
        <v>0</v>
      </c>
      <c r="R48" s="113">
        <f>+H48*25</f>
        <v>37.532812499999999</v>
      </c>
      <c r="S48" s="118">
        <f t="shared" si="21"/>
        <v>178.16273437499999</v>
      </c>
      <c r="T48" s="86">
        <v>1</v>
      </c>
      <c r="U48" s="119">
        <f t="shared" si="33"/>
        <v>890.81367187499995</v>
      </c>
      <c r="V48" s="119">
        <f t="shared" si="23"/>
        <v>890.81367187499995</v>
      </c>
      <c r="W48" s="458"/>
      <c r="X48" s="173"/>
      <c r="Y48" s="53"/>
      <c r="Z48" s="53"/>
    </row>
    <row r="49" spans="1:26" ht="18" customHeight="1">
      <c r="A49" s="363">
        <v>47</v>
      </c>
      <c r="B49" s="110">
        <v>9001722001</v>
      </c>
      <c r="C49" s="310" t="s">
        <v>65</v>
      </c>
      <c r="D49" s="88" t="s">
        <v>149</v>
      </c>
      <c r="E49" s="111">
        <v>95</v>
      </c>
      <c r="F49" s="111">
        <v>85</v>
      </c>
      <c r="G49" s="111">
        <v>30</v>
      </c>
      <c r="H49" s="112">
        <f t="shared" si="34"/>
        <v>1.9016625</v>
      </c>
      <c r="I49" s="113">
        <f>H49*90</f>
        <v>171.14962500000001</v>
      </c>
      <c r="J49" s="113">
        <v>0</v>
      </c>
      <c r="K49" s="113">
        <v>300</v>
      </c>
      <c r="L49" s="113">
        <v>0</v>
      </c>
      <c r="M49" s="113">
        <f>11*25</f>
        <v>275</v>
      </c>
      <c r="N49" s="113">
        <v>60</v>
      </c>
      <c r="O49" s="113">
        <v>0</v>
      </c>
      <c r="P49" s="113">
        <v>0</v>
      </c>
      <c r="Q49" s="113">
        <v>0</v>
      </c>
      <c r="R49" s="113">
        <f>+H49*25</f>
        <v>47.541562499999998</v>
      </c>
      <c r="S49" s="118">
        <f t="shared" si="21"/>
        <v>213.42279687500002</v>
      </c>
      <c r="T49" s="86">
        <v>1</v>
      </c>
      <c r="U49" s="119">
        <f t="shared" si="33"/>
        <v>1067.1139843750002</v>
      </c>
      <c r="V49" s="119">
        <f t="shared" si="23"/>
        <v>1067.1139843750002</v>
      </c>
      <c r="W49" s="458"/>
      <c r="X49" s="173"/>
      <c r="Y49" s="53"/>
      <c r="Z49" s="53"/>
    </row>
    <row r="50" spans="1:26" ht="18" customHeight="1">
      <c r="A50" s="378">
        <v>48</v>
      </c>
      <c r="B50" s="348">
        <v>9001781201</v>
      </c>
      <c r="C50" s="323" t="s">
        <v>66</v>
      </c>
      <c r="D50" s="253"/>
      <c r="E50" s="254">
        <v>0</v>
      </c>
      <c r="F50" s="254">
        <v>0</v>
      </c>
      <c r="G50" s="254">
        <v>0</v>
      </c>
      <c r="H50" s="255">
        <f t="shared" si="34"/>
        <v>0</v>
      </c>
      <c r="I50" s="256">
        <f>H50*Z49</f>
        <v>0</v>
      </c>
      <c r="J50" s="256">
        <v>0</v>
      </c>
      <c r="K50" s="256">
        <v>0</v>
      </c>
      <c r="L50" s="256">
        <v>0</v>
      </c>
      <c r="M50" s="256">
        <v>0</v>
      </c>
      <c r="N50" s="256">
        <v>0</v>
      </c>
      <c r="O50" s="256">
        <v>0</v>
      </c>
      <c r="P50" s="256">
        <v>0</v>
      </c>
      <c r="Q50" s="256">
        <v>0</v>
      </c>
      <c r="R50" s="256">
        <v>0</v>
      </c>
      <c r="S50" s="257">
        <f t="shared" si="21"/>
        <v>0</v>
      </c>
      <c r="T50" s="210">
        <v>16</v>
      </c>
      <c r="U50" s="258">
        <v>855</v>
      </c>
      <c r="V50" s="258">
        <f t="shared" si="23"/>
        <v>13680</v>
      </c>
      <c r="W50" s="464"/>
      <c r="X50" s="259" t="s">
        <v>158</v>
      </c>
      <c r="Y50" s="71"/>
      <c r="Z50" s="71"/>
    </row>
    <row r="51" spans="1:26" ht="18" customHeight="1">
      <c r="A51" s="363">
        <v>49</v>
      </c>
      <c r="B51" s="110">
        <v>9001783601</v>
      </c>
      <c r="C51" s="310" t="s">
        <v>67</v>
      </c>
      <c r="D51" s="88" t="s">
        <v>168</v>
      </c>
      <c r="E51" s="111">
        <v>150</v>
      </c>
      <c r="F51" s="111">
        <v>150</v>
      </c>
      <c r="G51" s="111">
        <v>2</v>
      </c>
      <c r="H51" s="112">
        <f>+E51*F51*G51*2.77/1000000</f>
        <v>0.12465</v>
      </c>
      <c r="I51" s="113">
        <f>H51*450</f>
        <v>56.092500000000001</v>
      </c>
      <c r="J51" s="113">
        <v>0</v>
      </c>
      <c r="K51" s="113">
        <v>0</v>
      </c>
      <c r="L51" s="113">
        <v>0</v>
      </c>
      <c r="M51" s="113">
        <v>0</v>
      </c>
      <c r="N51" s="113">
        <v>0</v>
      </c>
      <c r="O51" s="113">
        <v>0</v>
      </c>
      <c r="P51" s="113">
        <v>400</v>
      </c>
      <c r="Q51" s="113">
        <v>0</v>
      </c>
      <c r="R51" s="113">
        <v>0</v>
      </c>
      <c r="S51" s="118">
        <f t="shared" si="21"/>
        <v>114.02312499999999</v>
      </c>
      <c r="T51" s="86">
        <v>1</v>
      </c>
      <c r="U51" s="119">
        <f>+SUM(I51:S51)</f>
        <v>570.11562499999991</v>
      </c>
      <c r="V51" s="119">
        <f t="shared" si="23"/>
        <v>570.11562499999991</v>
      </c>
      <c r="W51" s="458"/>
      <c r="X51" s="173"/>
      <c r="Y51" s="53"/>
      <c r="Z51" s="53"/>
    </row>
    <row r="52" spans="1:26" ht="17.25" customHeight="1">
      <c r="A52" s="363">
        <v>50</v>
      </c>
      <c r="B52" s="110">
        <v>9001783701</v>
      </c>
      <c r="C52" s="310" t="s">
        <v>68</v>
      </c>
      <c r="D52" s="88" t="s">
        <v>168</v>
      </c>
      <c r="E52" s="111">
        <v>8</v>
      </c>
      <c r="F52" s="111">
        <v>8</v>
      </c>
      <c r="G52" s="111">
        <v>115</v>
      </c>
      <c r="H52" s="112">
        <f>+E52*F52*G52*2.77/1000000</f>
        <v>2.0387200000000001E-2</v>
      </c>
      <c r="I52" s="113">
        <f>H52*450</f>
        <v>9.1742400000000011</v>
      </c>
      <c r="J52" s="113">
        <v>0</v>
      </c>
      <c r="K52" s="113">
        <v>80</v>
      </c>
      <c r="L52" s="113">
        <v>0</v>
      </c>
      <c r="M52" s="113">
        <v>0</v>
      </c>
      <c r="N52" s="113">
        <v>0</v>
      </c>
      <c r="O52" s="113">
        <v>0</v>
      </c>
      <c r="P52" s="113">
        <v>0</v>
      </c>
      <c r="Q52" s="113">
        <v>0</v>
      </c>
      <c r="R52" s="113">
        <v>0</v>
      </c>
      <c r="S52" s="118">
        <f t="shared" si="21"/>
        <v>22.293559999999999</v>
      </c>
      <c r="T52" s="86">
        <v>2</v>
      </c>
      <c r="U52" s="119">
        <v>100</v>
      </c>
      <c r="V52" s="119">
        <f t="shared" si="23"/>
        <v>200</v>
      </c>
      <c r="W52" s="458"/>
      <c r="X52" s="173"/>
      <c r="Y52" s="53"/>
      <c r="Z52" s="53"/>
    </row>
    <row r="53" spans="1:26" ht="18" customHeight="1">
      <c r="A53" s="363">
        <v>51</v>
      </c>
      <c r="B53" s="110">
        <v>9001783801</v>
      </c>
      <c r="C53" s="310" t="s">
        <v>69</v>
      </c>
      <c r="D53" s="88" t="s">
        <v>168</v>
      </c>
      <c r="E53" s="111">
        <v>305</v>
      </c>
      <c r="F53" s="111">
        <v>130</v>
      </c>
      <c r="G53" s="111">
        <v>150</v>
      </c>
      <c r="H53" s="112">
        <f>+E53*F53*G53*2.77/1000000</f>
        <v>16.474575000000002</v>
      </c>
      <c r="I53" s="113">
        <f>H53*450</f>
        <v>7413.5587500000011</v>
      </c>
      <c r="J53" s="113">
        <v>0</v>
      </c>
      <c r="K53" s="113">
        <v>1600</v>
      </c>
      <c r="L53" s="113">
        <f>18*400</f>
        <v>7200</v>
      </c>
      <c r="M53" s="113">
        <v>0</v>
      </c>
      <c r="N53" s="113">
        <f>6*20</f>
        <v>120</v>
      </c>
      <c r="O53" s="113">
        <v>0</v>
      </c>
      <c r="P53" s="113">
        <v>0</v>
      </c>
      <c r="Q53" s="113">
        <v>0</v>
      </c>
      <c r="R53" s="113">
        <v>0</v>
      </c>
      <c r="S53" s="118">
        <f t="shared" ref="S53:S58" si="35">SUM(I53:R53)*25%</f>
        <v>4083.3896875</v>
      </c>
      <c r="T53" s="86">
        <v>1</v>
      </c>
      <c r="U53" s="119">
        <f t="shared" ref="U53:U63" si="36">+SUM(I53:S53)</f>
        <v>20416.948437499999</v>
      </c>
      <c r="V53" s="119">
        <f t="shared" si="23"/>
        <v>20416.948437499999</v>
      </c>
      <c r="W53" s="458"/>
      <c r="X53" s="173"/>
      <c r="Y53" s="53"/>
      <c r="Z53" s="53"/>
    </row>
    <row r="54" spans="1:26" ht="18" customHeight="1">
      <c r="A54" s="363">
        <v>52</v>
      </c>
      <c r="B54" s="110">
        <v>9001783901</v>
      </c>
      <c r="C54" s="310" t="s">
        <v>70</v>
      </c>
      <c r="D54" s="88" t="s">
        <v>168</v>
      </c>
      <c r="E54" s="111">
        <v>305</v>
      </c>
      <c r="F54" s="111">
        <v>150</v>
      </c>
      <c r="G54" s="111">
        <v>6</v>
      </c>
      <c r="H54" s="112">
        <f>+E54*F54*G54*2.77/1000000</f>
        <v>0.76036499999999996</v>
      </c>
      <c r="I54" s="113">
        <f>H54*450</f>
        <v>342.16424999999998</v>
      </c>
      <c r="J54" s="113">
        <v>0</v>
      </c>
      <c r="K54" s="113">
        <v>350</v>
      </c>
      <c r="L54" s="113">
        <v>0</v>
      </c>
      <c r="M54" s="113">
        <f>14*25</f>
        <v>350</v>
      </c>
      <c r="N54" s="113">
        <v>0</v>
      </c>
      <c r="O54" s="113">
        <v>0</v>
      </c>
      <c r="P54" s="113">
        <v>0</v>
      </c>
      <c r="Q54" s="113">
        <v>0</v>
      </c>
      <c r="R54" s="113">
        <v>0</v>
      </c>
      <c r="S54" s="118">
        <f t="shared" si="35"/>
        <v>260.54106250000001</v>
      </c>
      <c r="T54" s="86">
        <v>1</v>
      </c>
      <c r="U54" s="119">
        <f t="shared" si="36"/>
        <v>1302.7053125</v>
      </c>
      <c r="V54" s="119">
        <f t="shared" si="23"/>
        <v>1302.7053125</v>
      </c>
      <c r="W54" s="458"/>
      <c r="X54" s="173"/>
      <c r="Y54" s="53"/>
      <c r="Z54" s="53"/>
    </row>
    <row r="55" spans="1:26" ht="18" customHeight="1">
      <c r="A55" s="363">
        <v>53</v>
      </c>
      <c r="B55" s="110">
        <v>9001794101</v>
      </c>
      <c r="C55" s="310" t="s">
        <v>71</v>
      </c>
      <c r="D55" s="88" t="s">
        <v>149</v>
      </c>
      <c r="E55" s="111">
        <f>210+120</f>
        <v>330</v>
      </c>
      <c r="F55" s="111">
        <v>30</v>
      </c>
      <c r="G55" s="111">
        <v>6</v>
      </c>
      <c r="H55" s="112">
        <f t="shared" ref="H55:H59" si="37">+E55*F55*G55*7.85/1000000</f>
        <v>0.46628999999999998</v>
      </c>
      <c r="I55" s="113">
        <f>H55*90</f>
        <v>41.966099999999997</v>
      </c>
      <c r="J55" s="113">
        <v>0</v>
      </c>
      <c r="K55" s="113">
        <v>0</v>
      </c>
      <c r="L55" s="113">
        <v>0</v>
      </c>
      <c r="M55" s="113">
        <v>0</v>
      </c>
      <c r="N55" s="113">
        <v>0</v>
      </c>
      <c r="O55" s="113">
        <v>0</v>
      </c>
      <c r="P55" s="113">
        <v>400</v>
      </c>
      <c r="Q55" s="113">
        <v>0</v>
      </c>
      <c r="R55" s="113">
        <f>+H55*20</f>
        <v>9.3257999999999992</v>
      </c>
      <c r="S55" s="118">
        <f t="shared" si="35"/>
        <v>112.822975</v>
      </c>
      <c r="T55" s="86">
        <v>1</v>
      </c>
      <c r="U55" s="119">
        <f t="shared" si="36"/>
        <v>564.11487499999998</v>
      </c>
      <c r="V55" s="119">
        <f t="shared" si="23"/>
        <v>564.11487499999998</v>
      </c>
      <c r="W55" s="458"/>
      <c r="X55" s="173"/>
      <c r="Y55" s="53"/>
      <c r="Z55" s="53"/>
    </row>
    <row r="56" spans="1:26" ht="18" customHeight="1">
      <c r="A56" s="363">
        <v>54</v>
      </c>
      <c r="B56" s="110">
        <v>9001795601</v>
      </c>
      <c r="C56" s="310" t="s">
        <v>72</v>
      </c>
      <c r="D56" s="88" t="s">
        <v>149</v>
      </c>
      <c r="E56" s="111">
        <v>120</v>
      </c>
      <c r="F56" s="111">
        <v>50</v>
      </c>
      <c r="G56" s="111">
        <v>3</v>
      </c>
      <c r="H56" s="112">
        <f t="shared" si="37"/>
        <v>0.14130000000000001</v>
      </c>
      <c r="I56" s="113">
        <f>H56*90</f>
        <v>12.717000000000001</v>
      </c>
      <c r="J56" s="113">
        <v>0</v>
      </c>
      <c r="K56" s="113">
        <v>0</v>
      </c>
      <c r="L56" s="113">
        <v>0</v>
      </c>
      <c r="M56" s="113">
        <v>0</v>
      </c>
      <c r="N56" s="113">
        <v>0</v>
      </c>
      <c r="O56" s="113">
        <v>0</v>
      </c>
      <c r="P56" s="113">
        <v>300</v>
      </c>
      <c r="Q56" s="113">
        <v>0</v>
      </c>
      <c r="R56" s="113">
        <f>+H56*20</f>
        <v>2.8260000000000001</v>
      </c>
      <c r="S56" s="118">
        <f t="shared" si="35"/>
        <v>78.885750000000002</v>
      </c>
      <c r="T56" s="86">
        <v>1</v>
      </c>
      <c r="U56" s="119">
        <f t="shared" si="36"/>
        <v>394.42875000000004</v>
      </c>
      <c r="V56" s="119">
        <f t="shared" si="23"/>
        <v>394.42875000000004</v>
      </c>
      <c r="W56" s="458"/>
      <c r="X56" s="173"/>
      <c r="Y56" s="53"/>
      <c r="Z56" s="53"/>
    </row>
    <row r="57" spans="1:26" ht="18" customHeight="1">
      <c r="A57" s="363">
        <v>55</v>
      </c>
      <c r="B57" s="110">
        <v>9001797301</v>
      </c>
      <c r="C57" s="310" t="s">
        <v>73</v>
      </c>
      <c r="D57" s="88" t="s">
        <v>149</v>
      </c>
      <c r="E57" s="111">
        <v>125</v>
      </c>
      <c r="F57" s="111">
        <v>85</v>
      </c>
      <c r="G57" s="111">
        <v>6</v>
      </c>
      <c r="H57" s="112">
        <f t="shared" si="37"/>
        <v>0.50043749999999998</v>
      </c>
      <c r="I57" s="113">
        <f>H57*90</f>
        <v>45.039375</v>
      </c>
      <c r="J57" s="113">
        <v>0</v>
      </c>
      <c r="K57" s="113">
        <v>0</v>
      </c>
      <c r="L57" s="113">
        <v>0</v>
      </c>
      <c r="M57" s="113">
        <v>0</v>
      </c>
      <c r="N57" s="113">
        <v>0</v>
      </c>
      <c r="O57" s="113">
        <v>0</v>
      </c>
      <c r="P57" s="113">
        <v>300</v>
      </c>
      <c r="Q57" s="113">
        <v>0</v>
      </c>
      <c r="R57" s="113">
        <f>+H57*20</f>
        <v>10.008749999999999</v>
      </c>
      <c r="S57" s="118">
        <f t="shared" si="35"/>
        <v>88.762031250000007</v>
      </c>
      <c r="T57" s="86">
        <v>2</v>
      </c>
      <c r="U57" s="119">
        <f t="shared" si="36"/>
        <v>443.81015625000003</v>
      </c>
      <c r="V57" s="119">
        <f t="shared" si="23"/>
        <v>887.62031250000007</v>
      </c>
      <c r="W57" s="458"/>
      <c r="X57" s="173"/>
      <c r="Y57" s="53"/>
      <c r="Z57" s="53"/>
    </row>
    <row r="58" spans="1:26" ht="18" customHeight="1">
      <c r="A58" s="363">
        <v>56</v>
      </c>
      <c r="B58" s="110">
        <v>9001798901</v>
      </c>
      <c r="C58" s="310" t="s">
        <v>74</v>
      </c>
      <c r="D58" s="88" t="s">
        <v>149</v>
      </c>
      <c r="E58" s="111">
        <v>180</v>
      </c>
      <c r="F58" s="111">
        <v>100</v>
      </c>
      <c r="G58" s="111">
        <v>5</v>
      </c>
      <c r="H58" s="112">
        <f t="shared" si="37"/>
        <v>0.70650000000000002</v>
      </c>
      <c r="I58" s="113">
        <f>H58*90</f>
        <v>63.585000000000001</v>
      </c>
      <c r="J58" s="113">
        <v>0</v>
      </c>
      <c r="K58" s="113">
        <v>0</v>
      </c>
      <c r="L58" s="113">
        <v>0</v>
      </c>
      <c r="M58" s="113">
        <v>0</v>
      </c>
      <c r="N58" s="113">
        <v>0</v>
      </c>
      <c r="O58" s="113">
        <v>0</v>
      </c>
      <c r="P58" s="113">
        <v>350</v>
      </c>
      <c r="Q58" s="113">
        <v>0</v>
      </c>
      <c r="R58" s="113">
        <f>+H58*20</f>
        <v>14.13</v>
      </c>
      <c r="S58" s="118">
        <f t="shared" si="35"/>
        <v>106.92874999999999</v>
      </c>
      <c r="T58" s="86">
        <v>1</v>
      </c>
      <c r="U58" s="119">
        <f t="shared" si="36"/>
        <v>534.64374999999995</v>
      </c>
      <c r="V58" s="119">
        <f t="shared" si="23"/>
        <v>534.64374999999995</v>
      </c>
      <c r="W58" s="458"/>
      <c r="X58" s="173"/>
      <c r="Y58" s="53"/>
      <c r="Z58" s="53"/>
    </row>
    <row r="59" spans="1:26" ht="18" customHeight="1">
      <c r="A59" s="363">
        <v>57</v>
      </c>
      <c r="B59" s="110">
        <v>9001800101</v>
      </c>
      <c r="C59" s="310" t="s">
        <v>75</v>
      </c>
      <c r="D59" s="88" t="s">
        <v>149</v>
      </c>
      <c r="E59" s="111">
        <v>200</v>
      </c>
      <c r="F59" s="111">
        <v>100</v>
      </c>
      <c r="G59" s="111">
        <v>5</v>
      </c>
      <c r="H59" s="112">
        <f t="shared" si="37"/>
        <v>0.78500000000000003</v>
      </c>
      <c r="I59" s="113">
        <f>H59*90</f>
        <v>70.650000000000006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3">
        <v>300</v>
      </c>
      <c r="Q59" s="113">
        <v>0</v>
      </c>
      <c r="R59" s="113">
        <f>+H59*20</f>
        <v>15.700000000000001</v>
      </c>
      <c r="S59" s="118">
        <v>0</v>
      </c>
      <c r="T59" s="86">
        <v>2</v>
      </c>
      <c r="U59" s="119">
        <f t="shared" si="36"/>
        <v>386.34999999999997</v>
      </c>
      <c r="V59" s="119">
        <f t="shared" si="23"/>
        <v>772.69999999999993</v>
      </c>
      <c r="W59" s="458"/>
      <c r="X59" s="173"/>
      <c r="Y59" s="53"/>
      <c r="Z59" s="53"/>
    </row>
    <row r="60" spans="1:26" ht="18" customHeight="1">
      <c r="A60" s="363">
        <v>58</v>
      </c>
      <c r="B60" s="110">
        <v>9001801101</v>
      </c>
      <c r="C60" s="310" t="s">
        <v>76</v>
      </c>
      <c r="D60" s="88" t="s">
        <v>162</v>
      </c>
      <c r="E60" s="439">
        <v>25</v>
      </c>
      <c r="F60" s="437"/>
      <c r="G60" s="89">
        <v>45</v>
      </c>
      <c r="H60" s="90">
        <f>+E60*E60*3.14/4*G60*8.55/1000000</f>
        <v>0.18876796875000004</v>
      </c>
      <c r="I60" s="113">
        <f>H60*350</f>
        <v>66.068789062500016</v>
      </c>
      <c r="J60" s="113">
        <v>180</v>
      </c>
      <c r="K60" s="113">
        <v>80</v>
      </c>
      <c r="L60" s="113">
        <v>0</v>
      </c>
      <c r="M60" s="113">
        <v>0</v>
      </c>
      <c r="N60" s="113">
        <v>0</v>
      </c>
      <c r="O60" s="113">
        <v>80</v>
      </c>
      <c r="P60" s="113">
        <v>0</v>
      </c>
      <c r="Q60" s="113">
        <v>0</v>
      </c>
      <c r="R60" s="113">
        <v>0</v>
      </c>
      <c r="S60" s="118">
        <f t="shared" ref="S60:S70" si="38">SUM(I60:R60)*25%</f>
        <v>101.517197265625</v>
      </c>
      <c r="T60" s="86">
        <v>2</v>
      </c>
      <c r="U60" s="119">
        <f t="shared" si="36"/>
        <v>507.58598632812499</v>
      </c>
      <c r="V60" s="119">
        <f t="shared" si="23"/>
        <v>1015.17197265625</v>
      </c>
      <c r="W60" s="458"/>
      <c r="X60" s="173"/>
      <c r="Y60" s="53"/>
      <c r="Z60" s="53"/>
    </row>
    <row r="61" spans="1:26" ht="18" customHeight="1">
      <c r="A61" s="363">
        <v>59</v>
      </c>
      <c r="B61" s="110">
        <v>9001801901</v>
      </c>
      <c r="C61" s="310" t="s">
        <v>77</v>
      </c>
      <c r="D61" s="88" t="s">
        <v>162</v>
      </c>
      <c r="E61" s="439">
        <v>25</v>
      </c>
      <c r="F61" s="437"/>
      <c r="G61" s="89">
        <v>40</v>
      </c>
      <c r="H61" s="90">
        <f>+E61*E61*3.14/4*G61*8.55/1000000</f>
        <v>0.16779374999999999</v>
      </c>
      <c r="I61" s="113">
        <f>H61*350</f>
        <v>58.727812499999999</v>
      </c>
      <c r="J61" s="113">
        <v>120</v>
      </c>
      <c r="K61" s="113">
        <v>80</v>
      </c>
      <c r="L61" s="113">
        <v>0</v>
      </c>
      <c r="M61" s="113">
        <v>0</v>
      </c>
      <c r="N61" s="113">
        <v>0</v>
      </c>
      <c r="O61" s="113">
        <v>80</v>
      </c>
      <c r="P61" s="113">
        <v>0</v>
      </c>
      <c r="Q61" s="113">
        <v>0</v>
      </c>
      <c r="R61" s="113">
        <v>0</v>
      </c>
      <c r="S61" s="118">
        <f t="shared" si="38"/>
        <v>84.681953125000007</v>
      </c>
      <c r="T61" s="86">
        <v>2</v>
      </c>
      <c r="U61" s="119">
        <f t="shared" si="36"/>
        <v>423.40976562500003</v>
      </c>
      <c r="V61" s="119">
        <f t="shared" si="23"/>
        <v>846.81953125000007</v>
      </c>
      <c r="W61" s="458"/>
      <c r="X61" s="173"/>
      <c r="Y61" s="53"/>
      <c r="Z61" s="53"/>
    </row>
    <row r="62" spans="1:26" ht="18" customHeight="1">
      <c r="A62" s="363">
        <v>60</v>
      </c>
      <c r="B62" s="110">
        <v>9001802001</v>
      </c>
      <c r="C62" s="310" t="s">
        <v>78</v>
      </c>
      <c r="D62" s="88" t="s">
        <v>149</v>
      </c>
      <c r="E62" s="439">
        <v>12</v>
      </c>
      <c r="F62" s="437"/>
      <c r="G62" s="89">
        <v>60</v>
      </c>
      <c r="H62" s="90">
        <f>+E62*E62*3.14/4*G62*7.85/1000000</f>
        <v>5.3241840000000006E-2</v>
      </c>
      <c r="I62" s="113">
        <f>H62*90</f>
        <v>4.7917656000000006</v>
      </c>
      <c r="J62" s="113">
        <v>120</v>
      </c>
      <c r="K62" s="113">
        <v>80</v>
      </c>
      <c r="L62" s="113">
        <v>0</v>
      </c>
      <c r="M62" s="113">
        <v>0</v>
      </c>
      <c r="N62" s="113">
        <v>15</v>
      </c>
      <c r="O62" s="113">
        <v>0</v>
      </c>
      <c r="P62" s="113">
        <v>0</v>
      </c>
      <c r="Q62" s="113">
        <v>0</v>
      </c>
      <c r="R62" s="113">
        <f>+H62*25</f>
        <v>1.3310460000000002</v>
      </c>
      <c r="S62" s="118">
        <f t="shared" si="38"/>
        <v>55.280702900000001</v>
      </c>
      <c r="T62" s="86">
        <v>6</v>
      </c>
      <c r="U62" s="119">
        <f t="shared" si="36"/>
        <v>276.40351450000003</v>
      </c>
      <c r="V62" s="119">
        <f t="shared" si="23"/>
        <v>1658.4210870000002</v>
      </c>
      <c r="W62" s="458"/>
      <c r="X62" s="173"/>
      <c r="Y62" s="53"/>
      <c r="Z62" s="53"/>
    </row>
    <row r="63" spans="1:26" ht="18" customHeight="1">
      <c r="A63" s="363">
        <v>61</v>
      </c>
      <c r="B63" s="110">
        <v>9001802701</v>
      </c>
      <c r="C63" s="310" t="s">
        <v>79</v>
      </c>
      <c r="D63" s="88" t="s">
        <v>149</v>
      </c>
      <c r="E63" s="111">
        <v>200</v>
      </c>
      <c r="F63" s="111">
        <v>100</v>
      </c>
      <c r="G63" s="111">
        <v>3</v>
      </c>
      <c r="H63" s="112">
        <f t="shared" ref="H63:H67" si="39">+E63*F63*G63*7.85/1000000</f>
        <v>0.47099999999999997</v>
      </c>
      <c r="I63" s="113">
        <f>H63*90</f>
        <v>42.39</v>
      </c>
      <c r="J63" s="113">
        <v>0</v>
      </c>
      <c r="K63" s="113">
        <v>0</v>
      </c>
      <c r="L63" s="113">
        <v>0</v>
      </c>
      <c r="M63" s="113">
        <v>0</v>
      </c>
      <c r="N63" s="113">
        <v>0</v>
      </c>
      <c r="O63" s="113">
        <v>0</v>
      </c>
      <c r="P63" s="113">
        <v>300</v>
      </c>
      <c r="Q63" s="113">
        <v>0</v>
      </c>
      <c r="R63" s="113">
        <f>+H63*25</f>
        <v>11.774999999999999</v>
      </c>
      <c r="S63" s="118">
        <f t="shared" si="38"/>
        <v>88.541249999999991</v>
      </c>
      <c r="T63" s="86">
        <v>8</v>
      </c>
      <c r="U63" s="119">
        <f t="shared" si="36"/>
        <v>442.70624999999995</v>
      </c>
      <c r="V63" s="119">
        <f t="shared" si="23"/>
        <v>3541.6499999999996</v>
      </c>
      <c r="W63" s="458"/>
      <c r="X63" s="173"/>
      <c r="Y63" s="53"/>
      <c r="Z63" s="53"/>
    </row>
    <row r="64" spans="1:26" ht="18" customHeight="1">
      <c r="A64" s="372">
        <v>62</v>
      </c>
      <c r="B64" s="343">
        <v>9001806501</v>
      </c>
      <c r="C64" s="318" t="s">
        <v>80</v>
      </c>
      <c r="D64" s="120" t="s">
        <v>149</v>
      </c>
      <c r="E64" s="121">
        <v>190</v>
      </c>
      <c r="F64" s="121">
        <v>35</v>
      </c>
      <c r="G64" s="121">
        <v>8</v>
      </c>
      <c r="H64" s="122">
        <f t="shared" si="39"/>
        <v>0.41761999999999999</v>
      </c>
      <c r="I64" s="113">
        <f>H64*90</f>
        <v>37.585799999999999</v>
      </c>
      <c r="J64" s="123">
        <v>0</v>
      </c>
      <c r="K64" s="123">
        <v>160</v>
      </c>
      <c r="L64" s="123">
        <v>0</v>
      </c>
      <c r="M64" s="123">
        <v>40</v>
      </c>
      <c r="N64" s="123">
        <v>30</v>
      </c>
      <c r="O64" s="123">
        <v>0</v>
      </c>
      <c r="P64" s="123">
        <v>0</v>
      </c>
      <c r="Q64" s="123">
        <v>0</v>
      </c>
      <c r="R64" s="123">
        <f>+H64*25</f>
        <v>10.4405</v>
      </c>
      <c r="S64" s="124">
        <f t="shared" si="38"/>
        <v>69.506574999999998</v>
      </c>
      <c r="T64" s="86">
        <v>4</v>
      </c>
      <c r="U64" s="119">
        <f t="shared" ref="U64" si="40">+SUM(I64:S64)</f>
        <v>347.53287499999999</v>
      </c>
      <c r="V64" s="119">
        <f t="shared" ref="V64" si="41">U64*T64</f>
        <v>1390.1315</v>
      </c>
      <c r="W64" s="458"/>
      <c r="X64" s="181"/>
      <c r="Y64" s="66"/>
      <c r="Z64" s="66"/>
    </row>
    <row r="65" spans="1:26" ht="18" customHeight="1">
      <c r="A65" s="363">
        <v>63</v>
      </c>
      <c r="B65" s="110">
        <v>9001808401</v>
      </c>
      <c r="C65" s="310" t="s">
        <v>81</v>
      </c>
      <c r="D65" s="88" t="s">
        <v>149</v>
      </c>
      <c r="E65" s="111">
        <v>140</v>
      </c>
      <c r="F65" s="111">
        <v>50</v>
      </c>
      <c r="G65" s="111">
        <v>1</v>
      </c>
      <c r="H65" s="112">
        <f t="shared" si="39"/>
        <v>5.4949999999999999E-2</v>
      </c>
      <c r="I65" s="113">
        <f t="shared" ref="I65:I67" si="42">H65*90</f>
        <v>4.9455</v>
      </c>
      <c r="J65" s="113">
        <v>0</v>
      </c>
      <c r="K65" s="113">
        <v>0</v>
      </c>
      <c r="L65" s="113">
        <v>0</v>
      </c>
      <c r="M65" s="113">
        <v>0</v>
      </c>
      <c r="N65" s="113">
        <v>0</v>
      </c>
      <c r="O65" s="113">
        <v>0</v>
      </c>
      <c r="P65" s="113">
        <v>80</v>
      </c>
      <c r="Q65" s="113">
        <v>0</v>
      </c>
      <c r="R65" s="113">
        <v>0</v>
      </c>
      <c r="S65" s="118">
        <f t="shared" si="38"/>
        <v>21.236374999999999</v>
      </c>
      <c r="T65" s="86">
        <v>1</v>
      </c>
      <c r="U65" s="119">
        <f t="shared" ref="U65:U69" si="43">+SUM(I65:S65)</f>
        <v>106.18187499999999</v>
      </c>
      <c r="V65" s="119">
        <f t="shared" si="23"/>
        <v>106.18187499999999</v>
      </c>
      <c r="W65" s="458"/>
      <c r="X65" s="173"/>
      <c r="Y65" s="53"/>
      <c r="Z65" s="53"/>
    </row>
    <row r="66" spans="1:26" ht="18" customHeight="1">
      <c r="A66" s="379">
        <v>64</v>
      </c>
      <c r="B66" s="349">
        <v>9001809301</v>
      </c>
      <c r="C66" s="324" t="s">
        <v>82</v>
      </c>
      <c r="D66" s="148" t="s">
        <v>149</v>
      </c>
      <c r="E66" s="111">
        <f>90+50</f>
        <v>140</v>
      </c>
      <c r="F66" s="111">
        <v>35</v>
      </c>
      <c r="G66" s="111">
        <v>3</v>
      </c>
      <c r="H66" s="112">
        <f t="shared" si="39"/>
        <v>0.115395</v>
      </c>
      <c r="I66" s="113">
        <f t="shared" si="42"/>
        <v>10.38555</v>
      </c>
      <c r="J66" s="113">
        <v>0</v>
      </c>
      <c r="K66" s="113">
        <v>0</v>
      </c>
      <c r="L66" s="113">
        <v>0</v>
      </c>
      <c r="M66" s="113">
        <v>0</v>
      </c>
      <c r="N66" s="113">
        <v>40</v>
      </c>
      <c r="O66" s="113">
        <v>0</v>
      </c>
      <c r="P66" s="113">
        <v>300</v>
      </c>
      <c r="Q66" s="113">
        <v>0</v>
      </c>
      <c r="R66" s="113">
        <v>0</v>
      </c>
      <c r="S66" s="118">
        <f t="shared" si="38"/>
        <v>87.596387500000006</v>
      </c>
      <c r="T66" s="86">
        <v>2</v>
      </c>
      <c r="U66" s="119">
        <f t="shared" si="43"/>
        <v>437.98193750000002</v>
      </c>
      <c r="V66" s="149">
        <f t="shared" si="23"/>
        <v>875.96387500000003</v>
      </c>
      <c r="W66" s="465"/>
      <c r="X66" s="185"/>
      <c r="Y66" s="72"/>
      <c r="Z66" s="72"/>
    </row>
    <row r="67" spans="1:26" ht="18" customHeight="1">
      <c r="A67" s="363">
        <v>65</v>
      </c>
      <c r="B67" s="110">
        <v>9001809501</v>
      </c>
      <c r="C67" s="310" t="s">
        <v>83</v>
      </c>
      <c r="D67" s="88" t="s">
        <v>149</v>
      </c>
      <c r="E67" s="111">
        <v>100</v>
      </c>
      <c r="F67" s="111">
        <v>100</v>
      </c>
      <c r="G67" s="111">
        <v>3</v>
      </c>
      <c r="H67" s="112">
        <f t="shared" si="39"/>
        <v>0.23549999999999999</v>
      </c>
      <c r="I67" s="113">
        <f t="shared" si="42"/>
        <v>21.195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  <c r="O67" s="113">
        <v>0</v>
      </c>
      <c r="P67" s="113">
        <v>160</v>
      </c>
      <c r="Q67" s="113">
        <v>0</v>
      </c>
      <c r="R67" s="113">
        <v>0</v>
      </c>
      <c r="S67" s="118">
        <f t="shared" si="38"/>
        <v>45.298749999999998</v>
      </c>
      <c r="T67" s="86">
        <v>2</v>
      </c>
      <c r="U67" s="119">
        <f t="shared" si="43"/>
        <v>226.49374999999998</v>
      </c>
      <c r="V67" s="119">
        <f t="shared" si="23"/>
        <v>452.98749999999995</v>
      </c>
      <c r="W67" s="458"/>
      <c r="X67" s="173"/>
      <c r="Y67" s="53"/>
      <c r="Z67" s="53"/>
    </row>
    <row r="68" spans="1:26" ht="18" customHeight="1">
      <c r="A68" s="363">
        <v>66</v>
      </c>
      <c r="B68" s="110">
        <v>9001811001</v>
      </c>
      <c r="C68" s="310" t="s">
        <v>84</v>
      </c>
      <c r="D68" s="88" t="s">
        <v>168</v>
      </c>
      <c r="E68" s="439">
        <v>25</v>
      </c>
      <c r="F68" s="437"/>
      <c r="G68" s="89">
        <v>40</v>
      </c>
      <c r="H68" s="90">
        <f>+E68*E68*3.14/4*G68*2.77/1000000</f>
        <v>5.436125E-2</v>
      </c>
      <c r="I68" s="113">
        <f>H68*450</f>
        <v>24.462562500000001</v>
      </c>
      <c r="J68" s="113">
        <v>100</v>
      </c>
      <c r="K68" s="113">
        <v>80</v>
      </c>
      <c r="L68" s="113"/>
      <c r="M68" s="113">
        <v>0</v>
      </c>
      <c r="N68" s="113">
        <v>15</v>
      </c>
      <c r="O68" s="113">
        <v>0</v>
      </c>
      <c r="P68" s="113">
        <v>0</v>
      </c>
      <c r="Q68" s="113">
        <v>0</v>
      </c>
      <c r="R68" s="113">
        <v>0</v>
      </c>
      <c r="S68" s="118">
        <f t="shared" si="38"/>
        <v>54.865640624999997</v>
      </c>
      <c r="T68" s="86">
        <v>6</v>
      </c>
      <c r="U68" s="119">
        <f t="shared" si="43"/>
        <v>274.32820312499996</v>
      </c>
      <c r="V68" s="119">
        <f t="shared" si="23"/>
        <v>1645.9692187499998</v>
      </c>
      <c r="W68" s="458"/>
      <c r="X68" s="173"/>
      <c r="Y68" s="53"/>
      <c r="Z68" s="53"/>
    </row>
    <row r="69" spans="1:26" ht="18" customHeight="1">
      <c r="A69" s="376">
        <v>67</v>
      </c>
      <c r="B69" s="346">
        <v>9001813201</v>
      </c>
      <c r="C69" s="321" t="s">
        <v>85</v>
      </c>
      <c r="D69" s="288"/>
      <c r="E69" s="289">
        <v>0</v>
      </c>
      <c r="F69" s="289">
        <v>0</v>
      </c>
      <c r="G69" s="289">
        <v>0</v>
      </c>
      <c r="H69" s="290">
        <f>+E69*F69*G69*7.85/1000000</f>
        <v>0</v>
      </c>
      <c r="I69" s="291">
        <f>H69*Z68</f>
        <v>0</v>
      </c>
      <c r="J69" s="291">
        <v>0</v>
      </c>
      <c r="K69" s="291">
        <v>0</v>
      </c>
      <c r="L69" s="291">
        <v>0</v>
      </c>
      <c r="M69" s="291">
        <v>0</v>
      </c>
      <c r="N69" s="291">
        <v>0</v>
      </c>
      <c r="O69" s="291">
        <v>0</v>
      </c>
      <c r="P69" s="291">
        <v>0</v>
      </c>
      <c r="Q69" s="291">
        <v>0</v>
      </c>
      <c r="R69" s="291">
        <v>0</v>
      </c>
      <c r="S69" s="292">
        <f t="shared" si="38"/>
        <v>0</v>
      </c>
      <c r="T69" s="279">
        <v>6</v>
      </c>
      <c r="U69" s="302">
        <f t="shared" si="43"/>
        <v>0</v>
      </c>
      <c r="V69" s="293">
        <f t="shared" si="23"/>
        <v>0</v>
      </c>
      <c r="W69" s="294" t="s">
        <v>169</v>
      </c>
      <c r="X69" s="294"/>
      <c r="Y69" s="54"/>
      <c r="Z69" s="54"/>
    </row>
    <row r="70" spans="1:26" ht="18" customHeight="1">
      <c r="A70" s="367">
        <v>68</v>
      </c>
      <c r="B70" s="338">
        <v>9001816401</v>
      </c>
      <c r="C70" s="313" t="s">
        <v>86</v>
      </c>
      <c r="D70" s="88" t="s">
        <v>170</v>
      </c>
      <c r="E70" s="111">
        <v>85</v>
      </c>
      <c r="F70" s="111">
        <v>50</v>
      </c>
      <c r="G70" s="111">
        <v>16</v>
      </c>
      <c r="H70" s="112">
        <f>+E70*F70*G70*2.77/1000000</f>
        <v>0.18836</v>
      </c>
      <c r="I70" s="113">
        <f>H70*450</f>
        <v>84.762</v>
      </c>
      <c r="J70" s="113">
        <v>0</v>
      </c>
      <c r="K70" s="113">
        <v>200</v>
      </c>
      <c r="L70" s="113">
        <v>400</v>
      </c>
      <c r="M70" s="113">
        <f>6*20</f>
        <v>120</v>
      </c>
      <c r="N70" s="113">
        <f>4*15</f>
        <v>60</v>
      </c>
      <c r="O70" s="113">
        <v>0</v>
      </c>
      <c r="P70" s="113">
        <v>0</v>
      </c>
      <c r="Q70" s="113">
        <v>0</v>
      </c>
      <c r="R70" s="113">
        <f>+H70*150</f>
        <v>28.254000000000001</v>
      </c>
      <c r="S70" s="118">
        <f t="shared" si="38"/>
        <v>223.25399999999999</v>
      </c>
      <c r="T70" s="86">
        <v>2</v>
      </c>
      <c r="U70" s="119">
        <f t="shared" ref="U70" si="44">+SUM(I70:S70)</f>
        <v>1116.27</v>
      </c>
      <c r="V70" s="119">
        <f t="shared" ref="V70" si="45">U70*T70</f>
        <v>2232.54</v>
      </c>
      <c r="W70" s="458"/>
      <c r="X70" s="179"/>
      <c r="Y70" s="59"/>
      <c r="Z70" s="59"/>
    </row>
    <row r="71" spans="1:26" ht="18" customHeight="1">
      <c r="A71" s="367">
        <v>69</v>
      </c>
      <c r="B71" s="338">
        <v>9001816501</v>
      </c>
      <c r="C71" s="313" t="s">
        <v>87</v>
      </c>
      <c r="D71" s="88" t="s">
        <v>170</v>
      </c>
      <c r="E71" s="111">
        <v>85</v>
      </c>
      <c r="F71" s="111">
        <v>85</v>
      </c>
      <c r="G71" s="111">
        <v>16</v>
      </c>
      <c r="H71" s="112">
        <f>+E71*F71*G71*2.77/1000000</f>
        <v>0.320212</v>
      </c>
      <c r="I71" s="113">
        <f>H71*450</f>
        <v>144.09540000000001</v>
      </c>
      <c r="J71" s="113">
        <v>0</v>
      </c>
      <c r="K71" s="113">
        <v>200</v>
      </c>
      <c r="L71" s="113">
        <v>400</v>
      </c>
      <c r="M71" s="113">
        <f>10*20</f>
        <v>200</v>
      </c>
      <c r="N71" s="113">
        <f>14*15</f>
        <v>210</v>
      </c>
      <c r="O71" s="113">
        <v>0</v>
      </c>
      <c r="P71" s="113">
        <v>0</v>
      </c>
      <c r="Q71" s="113">
        <v>0</v>
      </c>
      <c r="R71" s="113">
        <f>+H71*150</f>
        <v>48.031799999999997</v>
      </c>
      <c r="S71" s="118">
        <f t="shared" ref="S71" si="46">SUM(I71:R71)*25%</f>
        <v>300.53180000000003</v>
      </c>
      <c r="T71" s="86">
        <v>4</v>
      </c>
      <c r="U71" s="119">
        <f t="shared" ref="U71" si="47">+SUM(I71:S71)</f>
        <v>1502.6590000000001</v>
      </c>
      <c r="V71" s="119">
        <f t="shared" ref="V71" si="48">U71*T71</f>
        <v>6010.6360000000004</v>
      </c>
      <c r="W71" s="458"/>
      <c r="X71" s="179"/>
      <c r="Y71" s="59"/>
      <c r="Z71" s="59"/>
    </row>
    <row r="72" spans="1:26" ht="18" customHeight="1">
      <c r="A72" s="363">
        <v>70</v>
      </c>
      <c r="B72" s="110">
        <v>9001816601</v>
      </c>
      <c r="C72" s="310" t="s">
        <v>88</v>
      </c>
      <c r="D72" s="88" t="s">
        <v>170</v>
      </c>
      <c r="E72" s="111">
        <v>20</v>
      </c>
      <c r="F72" s="111">
        <v>20</v>
      </c>
      <c r="G72" s="111">
        <v>40</v>
      </c>
      <c r="H72" s="112">
        <f>+E72*F72*G72*2.77/1000000</f>
        <v>4.4319999999999998E-2</v>
      </c>
      <c r="I72" s="113">
        <f>H72*450</f>
        <v>19.943999999999999</v>
      </c>
      <c r="J72" s="113">
        <v>0</v>
      </c>
      <c r="K72" s="113">
        <v>120</v>
      </c>
      <c r="L72" s="113">
        <v>0</v>
      </c>
      <c r="M72" s="113">
        <v>0</v>
      </c>
      <c r="N72" s="113">
        <v>0</v>
      </c>
      <c r="O72" s="113">
        <v>0</v>
      </c>
      <c r="P72" s="113">
        <v>0</v>
      </c>
      <c r="Q72" s="113">
        <v>0</v>
      </c>
      <c r="R72" s="113">
        <v>0</v>
      </c>
      <c r="S72" s="118">
        <f t="shared" ref="S72:S85" si="49">SUM(I72:R72)*25%</f>
        <v>34.985999999999997</v>
      </c>
      <c r="T72" s="86">
        <v>8</v>
      </c>
      <c r="U72" s="119">
        <f t="shared" ref="U72:U79" si="50">+SUM(I72:S72)</f>
        <v>174.92999999999998</v>
      </c>
      <c r="V72" s="119">
        <f t="shared" si="23"/>
        <v>1399.4399999999998</v>
      </c>
      <c r="W72" s="458"/>
      <c r="X72" s="173"/>
      <c r="Y72" s="53"/>
      <c r="Z72" s="53"/>
    </row>
    <row r="73" spans="1:26" ht="18" customHeight="1">
      <c r="A73" s="363">
        <v>71</v>
      </c>
      <c r="B73" s="110">
        <v>9001816701</v>
      </c>
      <c r="C73" s="310" t="s">
        <v>88</v>
      </c>
      <c r="D73" s="88" t="s">
        <v>170</v>
      </c>
      <c r="E73" s="111">
        <v>20</v>
      </c>
      <c r="F73" s="111">
        <v>20</v>
      </c>
      <c r="G73" s="111">
        <v>70</v>
      </c>
      <c r="H73" s="112">
        <f>+E73*F73*G73*2.77/1000000</f>
        <v>7.7560000000000004E-2</v>
      </c>
      <c r="I73" s="113">
        <f>H73*450</f>
        <v>34.902000000000001</v>
      </c>
      <c r="J73" s="113">
        <v>0</v>
      </c>
      <c r="K73" s="113">
        <v>150</v>
      </c>
      <c r="L73" s="113">
        <v>0</v>
      </c>
      <c r="M73" s="113">
        <v>0</v>
      </c>
      <c r="N73" s="113">
        <v>0</v>
      </c>
      <c r="O73" s="113">
        <v>0</v>
      </c>
      <c r="P73" s="113">
        <v>0</v>
      </c>
      <c r="Q73" s="113">
        <v>0</v>
      </c>
      <c r="R73" s="113">
        <v>0</v>
      </c>
      <c r="S73" s="118">
        <f t="shared" si="49"/>
        <v>46.225499999999997</v>
      </c>
      <c r="T73" s="86">
        <v>8</v>
      </c>
      <c r="U73" s="119">
        <f t="shared" si="50"/>
        <v>231.1275</v>
      </c>
      <c r="V73" s="119">
        <f t="shared" si="23"/>
        <v>1849.02</v>
      </c>
      <c r="W73" s="458"/>
      <c r="X73" s="173"/>
      <c r="Y73" s="53"/>
      <c r="Z73" s="53"/>
    </row>
    <row r="74" spans="1:26" ht="18" customHeight="1">
      <c r="A74" s="363">
        <v>72</v>
      </c>
      <c r="B74" s="110">
        <v>9001816901</v>
      </c>
      <c r="C74" s="310" t="s">
        <v>89</v>
      </c>
      <c r="D74" s="88" t="s">
        <v>170</v>
      </c>
      <c r="E74" s="111">
        <v>85</v>
      </c>
      <c r="F74" s="111">
        <v>50</v>
      </c>
      <c r="G74" s="111">
        <v>16</v>
      </c>
      <c r="H74" s="112">
        <f>+E74*F74*G74*2.77/1000000</f>
        <v>0.18836</v>
      </c>
      <c r="I74" s="113">
        <f>H74*450</f>
        <v>84.762</v>
      </c>
      <c r="J74" s="113">
        <v>0</v>
      </c>
      <c r="K74" s="113">
        <v>200</v>
      </c>
      <c r="L74" s="113">
        <v>400</v>
      </c>
      <c r="M74" s="113">
        <f>6*20</f>
        <v>120</v>
      </c>
      <c r="N74" s="113">
        <f>4*15</f>
        <v>60</v>
      </c>
      <c r="O74" s="113">
        <v>0</v>
      </c>
      <c r="P74" s="113">
        <v>0</v>
      </c>
      <c r="Q74" s="113">
        <v>0</v>
      </c>
      <c r="R74" s="113">
        <f>+H74*150</f>
        <v>28.254000000000001</v>
      </c>
      <c r="S74" s="118">
        <f t="shared" si="49"/>
        <v>223.25399999999999</v>
      </c>
      <c r="T74" s="86">
        <v>2</v>
      </c>
      <c r="U74" s="119">
        <f t="shared" si="50"/>
        <v>1116.27</v>
      </c>
      <c r="V74" s="119">
        <f t="shared" si="23"/>
        <v>2232.54</v>
      </c>
      <c r="W74" s="458"/>
      <c r="X74" s="173"/>
      <c r="Y74" s="53"/>
      <c r="Z74" s="53"/>
    </row>
    <row r="75" spans="1:26" ht="18" customHeight="1">
      <c r="A75" s="363">
        <v>73</v>
      </c>
      <c r="B75" s="110">
        <v>9001817201</v>
      </c>
      <c r="C75" s="310" t="s">
        <v>90</v>
      </c>
      <c r="D75" s="88" t="s">
        <v>149</v>
      </c>
      <c r="E75" s="111">
        <v>140</v>
      </c>
      <c r="F75" s="111">
        <v>30</v>
      </c>
      <c r="G75" s="111">
        <v>2</v>
      </c>
      <c r="H75" s="112">
        <f t="shared" ref="H75:H83" si="51">+E75*F75*G75*7.85/1000000</f>
        <v>6.5939999999999999E-2</v>
      </c>
      <c r="I75" s="113">
        <f>H75*90</f>
        <v>5.9345999999999997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  <c r="O75" s="113">
        <v>0</v>
      </c>
      <c r="P75" s="113">
        <v>150</v>
      </c>
      <c r="Q75" s="113">
        <v>0</v>
      </c>
      <c r="R75" s="113">
        <v>10</v>
      </c>
      <c r="S75" s="118">
        <f t="shared" si="49"/>
        <v>41.483649999999997</v>
      </c>
      <c r="T75" s="86">
        <v>24</v>
      </c>
      <c r="U75" s="119">
        <f t="shared" si="50"/>
        <v>207.41825</v>
      </c>
      <c r="V75" s="119">
        <f t="shared" si="23"/>
        <v>4978.0380000000005</v>
      </c>
      <c r="W75" s="458"/>
      <c r="X75" s="173"/>
      <c r="Y75" s="53"/>
      <c r="Z75" s="53"/>
    </row>
    <row r="76" spans="1:26" ht="18" customHeight="1">
      <c r="A76" s="380">
        <v>74</v>
      </c>
      <c r="B76" s="350">
        <v>9001823901</v>
      </c>
      <c r="C76" s="325" t="s">
        <v>91</v>
      </c>
      <c r="D76" s="192" t="s">
        <v>162</v>
      </c>
      <c r="E76" s="251">
        <v>60</v>
      </c>
      <c r="F76" s="251">
        <v>20</v>
      </c>
      <c r="G76" s="251">
        <v>0.6</v>
      </c>
      <c r="H76" s="252">
        <f>+E76*F76*G76*8.55/1000000</f>
        <v>6.1560000000000009E-3</v>
      </c>
      <c r="I76" s="195">
        <f>H76*350</f>
        <v>2.1546000000000003</v>
      </c>
      <c r="J76" s="195">
        <v>0</v>
      </c>
      <c r="K76" s="195">
        <v>0</v>
      </c>
      <c r="L76" s="195">
        <v>0</v>
      </c>
      <c r="M76" s="195">
        <v>0</v>
      </c>
      <c r="N76" s="195">
        <v>0</v>
      </c>
      <c r="O76" s="195">
        <v>0</v>
      </c>
      <c r="P76" s="195">
        <v>120</v>
      </c>
      <c r="Q76" s="195">
        <v>0</v>
      </c>
      <c r="R76" s="195">
        <v>10</v>
      </c>
      <c r="S76" s="196">
        <f t="shared" si="49"/>
        <v>33.038650000000004</v>
      </c>
      <c r="T76" s="210">
        <v>24</v>
      </c>
      <c r="U76" s="197">
        <f t="shared" si="50"/>
        <v>165.19325000000003</v>
      </c>
      <c r="V76" s="197">
        <f t="shared" si="23"/>
        <v>3964.6380000000008</v>
      </c>
      <c r="W76" s="466"/>
      <c r="X76" s="198" t="s">
        <v>158</v>
      </c>
      <c r="Y76" s="56"/>
      <c r="Z76" s="56"/>
    </row>
    <row r="77" spans="1:26" ht="18" customHeight="1">
      <c r="A77" s="381">
        <v>75</v>
      </c>
      <c r="B77" s="351">
        <v>9001827001</v>
      </c>
      <c r="C77" s="326" t="s">
        <v>92</v>
      </c>
      <c r="D77" s="151" t="s">
        <v>149</v>
      </c>
      <c r="E77" s="121">
        <v>55</v>
      </c>
      <c r="F77" s="121">
        <v>20</v>
      </c>
      <c r="G77" s="121">
        <v>0.4</v>
      </c>
      <c r="H77" s="122">
        <f t="shared" si="51"/>
        <v>3.454E-3</v>
      </c>
      <c r="I77" s="123">
        <f>H77*90</f>
        <v>0.31086000000000003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80</v>
      </c>
      <c r="Q77" s="123">
        <v>0</v>
      </c>
      <c r="R77" s="123">
        <v>1</v>
      </c>
      <c r="S77" s="124">
        <f t="shared" si="49"/>
        <v>20.327715000000001</v>
      </c>
      <c r="T77" s="86">
        <v>88</v>
      </c>
      <c r="U77" s="125">
        <f t="shared" si="50"/>
        <v>101.638575</v>
      </c>
      <c r="V77" s="125">
        <f t="shared" si="23"/>
        <v>8944.1946000000007</v>
      </c>
      <c r="W77" s="461"/>
      <c r="X77" s="186"/>
      <c r="Y77" s="21"/>
      <c r="Z77" s="21"/>
    </row>
    <row r="78" spans="1:26" ht="18" customHeight="1">
      <c r="A78" s="381">
        <v>76</v>
      </c>
      <c r="B78" s="351">
        <v>9001827701</v>
      </c>
      <c r="C78" s="326" t="s">
        <v>93</v>
      </c>
      <c r="D78" s="151" t="s">
        <v>149</v>
      </c>
      <c r="E78" s="121">
        <v>55</v>
      </c>
      <c r="F78" s="121">
        <v>20</v>
      </c>
      <c r="G78" s="121">
        <v>0.4</v>
      </c>
      <c r="H78" s="122">
        <f t="shared" ref="H78" si="52">+E78*F78*G78*7.85/1000000</f>
        <v>3.454E-3</v>
      </c>
      <c r="I78" s="123">
        <f>H78*90</f>
        <v>0.31086000000000003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80</v>
      </c>
      <c r="Q78" s="123">
        <v>0</v>
      </c>
      <c r="R78" s="123">
        <v>1</v>
      </c>
      <c r="S78" s="124">
        <f t="shared" ref="S78" si="53">SUM(I78:R78)*25%</f>
        <v>20.327715000000001</v>
      </c>
      <c r="T78" s="86">
        <v>36</v>
      </c>
      <c r="U78" s="125">
        <f t="shared" si="50"/>
        <v>101.638575</v>
      </c>
      <c r="V78" s="125">
        <f t="shared" si="23"/>
        <v>3658.9886999999999</v>
      </c>
      <c r="W78" s="461"/>
      <c r="X78" s="186"/>
      <c r="Y78" s="21"/>
      <c r="Z78" s="21"/>
    </row>
    <row r="79" spans="1:26" ht="18" customHeight="1">
      <c r="A79" s="381">
        <v>77</v>
      </c>
      <c r="B79" s="351">
        <v>9001832601</v>
      </c>
      <c r="C79" s="326" t="s">
        <v>94</v>
      </c>
      <c r="D79" s="151" t="s">
        <v>162</v>
      </c>
      <c r="E79" s="121">
        <v>340</v>
      </c>
      <c r="F79" s="121">
        <v>245</v>
      </c>
      <c r="G79" s="121">
        <v>12</v>
      </c>
      <c r="H79" s="122">
        <f>+E79*F79*G79*8.55/1000000</f>
        <v>8.5465800000000005</v>
      </c>
      <c r="I79" s="123">
        <f>H79*350</f>
        <v>2991.3030000000003</v>
      </c>
      <c r="J79" s="123">
        <v>0</v>
      </c>
      <c r="K79" s="123">
        <v>550</v>
      </c>
      <c r="L79" s="123">
        <v>1600</v>
      </c>
      <c r="M79" s="123">
        <v>0</v>
      </c>
      <c r="N79" s="123">
        <v>40</v>
      </c>
      <c r="O79" s="123">
        <v>0</v>
      </c>
      <c r="P79" s="123">
        <v>0</v>
      </c>
      <c r="Q79" s="123">
        <v>0</v>
      </c>
      <c r="R79" s="123">
        <v>150</v>
      </c>
      <c r="S79" s="124">
        <f t="shared" si="49"/>
        <v>1332.82575</v>
      </c>
      <c r="T79" s="86">
        <v>1</v>
      </c>
      <c r="U79" s="125">
        <f t="shared" si="50"/>
        <v>6664.1287499999999</v>
      </c>
      <c r="V79" s="125">
        <f t="shared" si="23"/>
        <v>6664.1287499999999</v>
      </c>
      <c r="W79" s="461"/>
      <c r="X79" s="186"/>
      <c r="Y79" s="21"/>
      <c r="Z79" s="21"/>
    </row>
    <row r="80" spans="1:26" ht="18" customHeight="1">
      <c r="A80" s="382">
        <v>78</v>
      </c>
      <c r="B80" s="352">
        <v>9001835301</v>
      </c>
      <c r="C80" s="327" t="s">
        <v>95</v>
      </c>
      <c r="D80" s="244"/>
      <c r="E80" s="245">
        <v>0</v>
      </c>
      <c r="F80" s="245">
        <v>0</v>
      </c>
      <c r="G80" s="245">
        <v>0</v>
      </c>
      <c r="H80" s="246">
        <f t="shared" si="51"/>
        <v>0</v>
      </c>
      <c r="I80" s="247">
        <f>H80*Z79</f>
        <v>0</v>
      </c>
      <c r="J80" s="247">
        <v>0</v>
      </c>
      <c r="K80" s="247">
        <v>0</v>
      </c>
      <c r="L80" s="247">
        <v>0</v>
      </c>
      <c r="M80" s="247">
        <v>0</v>
      </c>
      <c r="N80" s="247">
        <v>0</v>
      </c>
      <c r="O80" s="247">
        <v>0</v>
      </c>
      <c r="P80" s="247">
        <v>0</v>
      </c>
      <c r="Q80" s="247">
        <v>0</v>
      </c>
      <c r="R80" s="247">
        <v>0</v>
      </c>
      <c r="S80" s="248">
        <f t="shared" si="49"/>
        <v>0</v>
      </c>
      <c r="T80" s="210">
        <v>1</v>
      </c>
      <c r="U80" s="249">
        <v>19629</v>
      </c>
      <c r="V80" s="249">
        <f t="shared" si="23"/>
        <v>19629</v>
      </c>
      <c r="W80" s="467"/>
      <c r="X80" s="250" t="s">
        <v>158</v>
      </c>
      <c r="Y80" s="73"/>
      <c r="Z80" s="73"/>
    </row>
    <row r="81" spans="1:26" ht="18" customHeight="1">
      <c r="A81" s="363">
        <v>79</v>
      </c>
      <c r="B81" s="110">
        <v>9001837501</v>
      </c>
      <c r="C81" s="310" t="s">
        <v>96</v>
      </c>
      <c r="D81" s="88" t="s">
        <v>170</v>
      </c>
      <c r="E81" s="111">
        <v>180</v>
      </c>
      <c r="F81" s="111">
        <v>70</v>
      </c>
      <c r="G81" s="111">
        <v>8</v>
      </c>
      <c r="H81" s="112">
        <f>+E81*F81*G81*2.77/1000000</f>
        <v>0.27921600000000002</v>
      </c>
      <c r="I81" s="113">
        <f>H81*450</f>
        <v>125.64720000000001</v>
      </c>
      <c r="J81" s="113">
        <v>0</v>
      </c>
      <c r="K81" s="113">
        <v>160</v>
      </c>
      <c r="L81" s="113">
        <v>300</v>
      </c>
      <c r="M81" s="113">
        <v>0</v>
      </c>
      <c r="N81" s="113">
        <f>20*20</f>
        <v>400</v>
      </c>
      <c r="O81" s="113">
        <v>0</v>
      </c>
      <c r="P81" s="113">
        <v>0</v>
      </c>
      <c r="Q81" s="113">
        <v>0</v>
      </c>
      <c r="R81" s="113">
        <f>+H81*150</f>
        <v>41.882400000000004</v>
      </c>
      <c r="S81" s="118">
        <f t="shared" si="49"/>
        <v>256.88240000000002</v>
      </c>
      <c r="T81" s="86">
        <v>4</v>
      </c>
      <c r="U81" s="119">
        <f t="shared" ref="U81:U85" si="54">+SUM(I81:S81)</f>
        <v>1284.412</v>
      </c>
      <c r="V81" s="119">
        <f t="shared" si="23"/>
        <v>5137.6480000000001</v>
      </c>
      <c r="W81" s="458"/>
      <c r="X81" s="173"/>
      <c r="Y81" s="53"/>
      <c r="Z81" s="53"/>
    </row>
    <row r="82" spans="1:26" ht="18" customHeight="1">
      <c r="A82" s="363">
        <v>80</v>
      </c>
      <c r="B82" s="110">
        <v>9001842201</v>
      </c>
      <c r="C82" s="310" t="s">
        <v>97</v>
      </c>
      <c r="D82" s="88" t="s">
        <v>149</v>
      </c>
      <c r="E82" s="111">
        <v>50</v>
      </c>
      <c r="F82" s="111">
        <v>20</v>
      </c>
      <c r="G82" s="111">
        <v>2</v>
      </c>
      <c r="H82" s="152">
        <f t="shared" si="51"/>
        <v>1.5699999999999999E-2</v>
      </c>
      <c r="I82" s="113">
        <f>H82*90</f>
        <v>1.4129999999999998</v>
      </c>
      <c r="J82" s="113">
        <v>0</v>
      </c>
      <c r="K82" s="113">
        <v>0</v>
      </c>
      <c r="L82" s="113">
        <v>0</v>
      </c>
      <c r="M82" s="113">
        <v>0</v>
      </c>
      <c r="N82" s="113">
        <v>0</v>
      </c>
      <c r="O82" s="113">
        <v>0</v>
      </c>
      <c r="P82" s="113">
        <v>50</v>
      </c>
      <c r="Q82" s="113">
        <v>0</v>
      </c>
      <c r="R82" s="113">
        <v>1</v>
      </c>
      <c r="S82" s="118">
        <f t="shared" si="49"/>
        <v>13.103249999999999</v>
      </c>
      <c r="T82" s="86">
        <v>18</v>
      </c>
      <c r="U82" s="119">
        <f t="shared" si="54"/>
        <v>65.516249999999999</v>
      </c>
      <c r="V82" s="119">
        <f t="shared" si="23"/>
        <v>1179.2925</v>
      </c>
      <c r="W82" s="458"/>
      <c r="X82" s="173"/>
      <c r="Y82" s="53"/>
      <c r="Z82" s="53"/>
    </row>
    <row r="83" spans="1:26" ht="18" customHeight="1">
      <c r="A83" s="377">
        <v>81</v>
      </c>
      <c r="B83" s="347">
        <v>9001844301</v>
      </c>
      <c r="C83" s="322" t="s">
        <v>98</v>
      </c>
      <c r="D83" s="295"/>
      <c r="E83" s="296">
        <v>0</v>
      </c>
      <c r="F83" s="296">
        <v>0</v>
      </c>
      <c r="G83" s="296">
        <v>0</v>
      </c>
      <c r="H83" s="297">
        <f t="shared" si="51"/>
        <v>0</v>
      </c>
      <c r="I83" s="298">
        <f>H83*Z82</f>
        <v>0</v>
      </c>
      <c r="J83" s="298">
        <v>0</v>
      </c>
      <c r="K83" s="298">
        <v>0</v>
      </c>
      <c r="L83" s="298">
        <v>0</v>
      </c>
      <c r="M83" s="298">
        <v>0</v>
      </c>
      <c r="N83" s="298">
        <v>0</v>
      </c>
      <c r="O83" s="298">
        <v>0</v>
      </c>
      <c r="P83" s="298">
        <v>0</v>
      </c>
      <c r="Q83" s="298">
        <v>0</v>
      </c>
      <c r="R83" s="298">
        <v>0</v>
      </c>
      <c r="S83" s="299">
        <f t="shared" si="49"/>
        <v>0</v>
      </c>
      <c r="T83" s="279">
        <v>3</v>
      </c>
      <c r="U83" s="300">
        <f t="shared" si="54"/>
        <v>0</v>
      </c>
      <c r="V83" s="300">
        <f t="shared" si="23"/>
        <v>0</v>
      </c>
      <c r="W83" s="301" t="s">
        <v>169</v>
      </c>
      <c r="X83" s="301"/>
      <c r="Y83" s="66"/>
      <c r="Z83" s="66"/>
    </row>
    <row r="84" spans="1:26" ht="18" customHeight="1">
      <c r="A84" s="383">
        <v>82</v>
      </c>
      <c r="B84" s="353">
        <v>9001846901</v>
      </c>
      <c r="C84" s="328" t="s">
        <v>99</v>
      </c>
      <c r="D84" s="138" t="s">
        <v>171</v>
      </c>
      <c r="E84" s="139">
        <v>6</v>
      </c>
      <c r="F84" s="139">
        <v>6</v>
      </c>
      <c r="G84" s="139">
        <v>5000</v>
      </c>
      <c r="H84" s="122">
        <f>+E84*F84*G84*1.77/1000000</f>
        <v>0.31859999999999999</v>
      </c>
      <c r="I84" s="123">
        <f>+H84*5000</f>
        <v>1593</v>
      </c>
      <c r="J84" s="140">
        <v>0</v>
      </c>
      <c r="K84" s="140">
        <v>0</v>
      </c>
      <c r="L84" s="140">
        <v>0</v>
      </c>
      <c r="M84" s="140">
        <v>0</v>
      </c>
      <c r="N84" s="140">
        <v>0</v>
      </c>
      <c r="O84" s="140">
        <v>0</v>
      </c>
      <c r="P84" s="140">
        <v>0</v>
      </c>
      <c r="Q84" s="140">
        <v>0</v>
      </c>
      <c r="R84" s="140">
        <v>0</v>
      </c>
      <c r="S84" s="141">
        <f t="shared" si="49"/>
        <v>398.25</v>
      </c>
      <c r="T84" s="86">
        <v>3</v>
      </c>
      <c r="U84" s="142">
        <f t="shared" si="54"/>
        <v>1991.25</v>
      </c>
      <c r="V84" s="142">
        <f t="shared" si="23"/>
        <v>5973.75</v>
      </c>
      <c r="W84" s="468"/>
      <c r="X84" s="184"/>
      <c r="Y84" s="69"/>
      <c r="Z84" s="69"/>
    </row>
    <row r="85" spans="1:26" ht="18" customHeight="1">
      <c r="A85" s="363">
        <v>83</v>
      </c>
      <c r="B85" s="110">
        <v>9001852401</v>
      </c>
      <c r="C85" s="310" t="s">
        <v>100</v>
      </c>
      <c r="D85" s="88" t="s">
        <v>172</v>
      </c>
      <c r="E85" s="111">
        <v>100</v>
      </c>
      <c r="F85" s="111">
        <v>200</v>
      </c>
      <c r="G85" s="111">
        <v>12</v>
      </c>
      <c r="H85" s="112">
        <f>+E85*F85*G85*1.77/1000000</f>
        <v>0.42480000000000001</v>
      </c>
      <c r="I85" s="113">
        <f>H85*700</f>
        <v>297.36</v>
      </c>
      <c r="J85" s="113">
        <v>0</v>
      </c>
      <c r="K85" s="113">
        <v>200</v>
      </c>
      <c r="L85" s="113">
        <v>400</v>
      </c>
      <c r="M85" s="113">
        <v>0</v>
      </c>
      <c r="N85" s="113">
        <v>0</v>
      </c>
      <c r="O85" s="113">
        <v>0</v>
      </c>
      <c r="P85" s="113">
        <v>0</v>
      </c>
      <c r="Q85" s="113">
        <v>0</v>
      </c>
      <c r="R85" s="113">
        <v>0</v>
      </c>
      <c r="S85" s="118">
        <f t="shared" si="49"/>
        <v>224.34</v>
      </c>
      <c r="T85" s="86">
        <v>2</v>
      </c>
      <c r="U85" s="119">
        <f t="shared" si="54"/>
        <v>1121.7</v>
      </c>
      <c r="V85" s="119">
        <f t="shared" si="23"/>
        <v>2243.4</v>
      </c>
      <c r="W85" s="458"/>
      <c r="X85" s="173"/>
      <c r="Y85" s="53"/>
      <c r="Z85" s="53"/>
    </row>
    <row r="86" spans="1:26" ht="18" customHeight="1">
      <c r="A86" s="384">
        <v>84</v>
      </c>
      <c r="B86" s="354">
        <v>9001852901</v>
      </c>
      <c r="C86" s="329" t="s">
        <v>101</v>
      </c>
      <c r="D86" s="205" t="s">
        <v>162</v>
      </c>
      <c r="E86" s="239">
        <v>100</v>
      </c>
      <c r="F86" s="239">
        <v>200</v>
      </c>
      <c r="G86" s="239">
        <v>12</v>
      </c>
      <c r="H86" s="240">
        <f>+E86*F86*G86*8.55/1000000</f>
        <v>2.052</v>
      </c>
      <c r="I86" s="241">
        <f>H86*350</f>
        <v>718.2</v>
      </c>
      <c r="J86" s="241">
        <v>0</v>
      </c>
      <c r="K86" s="241">
        <v>350</v>
      </c>
      <c r="L86" s="241">
        <v>800</v>
      </c>
      <c r="M86" s="241">
        <v>0</v>
      </c>
      <c r="N86" s="241">
        <v>0</v>
      </c>
      <c r="O86" s="241">
        <v>300</v>
      </c>
      <c r="P86" s="241">
        <v>0</v>
      </c>
      <c r="Q86" s="241">
        <v>0</v>
      </c>
      <c r="R86" s="241">
        <v>150</v>
      </c>
      <c r="S86" s="242">
        <f t="shared" ref="S86" si="55">SUM(I86:R86)*25%</f>
        <v>579.54999999999995</v>
      </c>
      <c r="T86" s="210">
        <v>2</v>
      </c>
      <c r="U86" s="243">
        <f t="shared" ref="U86" si="56">+SUM(I86:S86)</f>
        <v>2897.75</v>
      </c>
      <c r="V86" s="243">
        <f t="shared" ref="V86" si="57">U86*T86</f>
        <v>5795.5</v>
      </c>
      <c r="W86" s="457"/>
      <c r="X86" s="212" t="s">
        <v>158</v>
      </c>
      <c r="Y86" s="74"/>
      <c r="Z86" s="74"/>
    </row>
    <row r="87" spans="1:26" ht="18" customHeight="1">
      <c r="A87" s="385">
        <v>85</v>
      </c>
      <c r="B87" s="355">
        <v>9001853001</v>
      </c>
      <c r="C87" s="330" t="s">
        <v>102</v>
      </c>
      <c r="D87" s="232"/>
      <c r="E87" s="233"/>
      <c r="F87" s="233"/>
      <c r="G87" s="233"/>
      <c r="H87" s="234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6"/>
      <c r="T87" s="210">
        <v>8</v>
      </c>
      <c r="U87" s="237">
        <v>4878</v>
      </c>
      <c r="V87" s="237">
        <f t="shared" si="23"/>
        <v>39024</v>
      </c>
      <c r="W87" s="469"/>
      <c r="X87" s="238" t="s">
        <v>158</v>
      </c>
      <c r="Y87" s="75"/>
      <c r="Z87" s="75"/>
    </row>
    <row r="88" spans="1:26" ht="18" customHeight="1">
      <c r="A88" s="386">
        <v>86</v>
      </c>
      <c r="B88" s="356">
        <v>9001853201</v>
      </c>
      <c r="C88" s="331" t="s">
        <v>103</v>
      </c>
      <c r="D88" s="88" t="s">
        <v>166</v>
      </c>
      <c r="E88" s="111">
        <v>705</v>
      </c>
      <c r="F88" s="111">
        <v>20</v>
      </c>
      <c r="G88" s="111">
        <v>20</v>
      </c>
      <c r="H88" s="112">
        <f>+E88*F88*G88*2.77/1000000</f>
        <v>0.78113999999999995</v>
      </c>
      <c r="I88" s="113">
        <f>H88*550</f>
        <v>429.62699999999995</v>
      </c>
      <c r="J88" s="153">
        <v>0</v>
      </c>
      <c r="K88" s="153">
        <v>0</v>
      </c>
      <c r="L88" s="153">
        <v>800</v>
      </c>
      <c r="M88" s="153">
        <v>0</v>
      </c>
      <c r="N88" s="153">
        <v>0</v>
      </c>
      <c r="O88" s="153">
        <v>0</v>
      </c>
      <c r="P88" s="153">
        <v>0</v>
      </c>
      <c r="Q88" s="153">
        <v>0</v>
      </c>
      <c r="R88" s="153">
        <f>+H88*150</f>
        <v>117.17099999999999</v>
      </c>
      <c r="S88" s="154">
        <f t="shared" ref="S88:S94" si="58">SUM(I88:R88)*25%</f>
        <v>336.6995</v>
      </c>
      <c r="T88" s="86">
        <v>1</v>
      </c>
      <c r="U88" s="155">
        <f t="shared" ref="U88:U92" si="59">+SUM(I88:S88)</f>
        <v>1683.4974999999999</v>
      </c>
      <c r="V88" s="155">
        <f t="shared" si="23"/>
        <v>1683.4974999999999</v>
      </c>
      <c r="W88" s="470"/>
      <c r="X88" s="187"/>
      <c r="Y88" s="76"/>
      <c r="Z88" s="77"/>
    </row>
    <row r="89" spans="1:26" ht="18" customHeight="1">
      <c r="A89" s="363">
        <v>87</v>
      </c>
      <c r="B89" s="110">
        <v>9001854801</v>
      </c>
      <c r="C89" s="310" t="s">
        <v>104</v>
      </c>
      <c r="D89" s="88" t="s">
        <v>149</v>
      </c>
      <c r="E89" s="439">
        <v>16</v>
      </c>
      <c r="F89" s="437"/>
      <c r="G89" s="89">
        <v>450</v>
      </c>
      <c r="H89" s="90">
        <f>+E89*E89*3.14/4*G89*7.85/1000000</f>
        <v>0.70989119999999994</v>
      </c>
      <c r="I89" s="113">
        <f t="shared" ref="I89" si="60">H89*350</f>
        <v>248.46191999999999</v>
      </c>
      <c r="J89" s="113">
        <v>200</v>
      </c>
      <c r="K89" s="113">
        <v>0</v>
      </c>
      <c r="L89" s="113">
        <v>0</v>
      </c>
      <c r="M89" s="113">
        <v>0</v>
      </c>
      <c r="N89" s="113">
        <v>20</v>
      </c>
      <c r="O89" s="113">
        <v>0</v>
      </c>
      <c r="P89" s="113">
        <v>0</v>
      </c>
      <c r="Q89" s="113">
        <v>0</v>
      </c>
      <c r="R89" s="113">
        <f>+H89*25</f>
        <v>17.74728</v>
      </c>
      <c r="S89" s="118">
        <f t="shared" si="58"/>
        <v>121.55229999999999</v>
      </c>
      <c r="T89" s="86">
        <v>2</v>
      </c>
      <c r="U89" s="119">
        <f t="shared" si="59"/>
        <v>607.76149999999996</v>
      </c>
      <c r="V89" s="119">
        <f t="shared" si="23"/>
        <v>1215.5229999999999</v>
      </c>
      <c r="W89" s="458"/>
      <c r="X89" s="173"/>
      <c r="Y89" s="53"/>
      <c r="Z89" s="53"/>
    </row>
    <row r="90" spans="1:26" ht="18" customHeight="1">
      <c r="A90" s="363">
        <v>88</v>
      </c>
      <c r="B90" s="110">
        <v>9001855001</v>
      </c>
      <c r="C90" s="310" t="s">
        <v>105</v>
      </c>
      <c r="D90" s="88" t="s">
        <v>149</v>
      </c>
      <c r="E90" s="111">
        <v>75</v>
      </c>
      <c r="F90" s="111">
        <v>50</v>
      </c>
      <c r="G90" s="111">
        <v>14</v>
      </c>
      <c r="H90" s="112">
        <f t="shared" ref="H90:H94" si="61">+E90*F90*G90*7.85/1000000</f>
        <v>0.41212500000000002</v>
      </c>
      <c r="I90" s="113">
        <f>H90*90</f>
        <v>37.091250000000002</v>
      </c>
      <c r="J90" s="113">
        <v>0</v>
      </c>
      <c r="K90" s="113">
        <v>120</v>
      </c>
      <c r="L90" s="113">
        <v>200</v>
      </c>
      <c r="M90" s="113">
        <f>6*25</f>
        <v>150</v>
      </c>
      <c r="N90" s="113">
        <v>40</v>
      </c>
      <c r="O90" s="113">
        <v>0</v>
      </c>
      <c r="P90" s="113">
        <v>0</v>
      </c>
      <c r="Q90" s="113">
        <v>0</v>
      </c>
      <c r="R90" s="113">
        <f>+H90*25</f>
        <v>10.303125</v>
      </c>
      <c r="S90" s="118">
        <f t="shared" si="58"/>
        <v>139.34859374999999</v>
      </c>
      <c r="T90" s="86">
        <v>6</v>
      </c>
      <c r="U90" s="119">
        <f t="shared" si="59"/>
        <v>696.74296874999993</v>
      </c>
      <c r="V90" s="119">
        <f t="shared" si="23"/>
        <v>4180.4578124999998</v>
      </c>
      <c r="W90" s="458"/>
      <c r="X90" s="173"/>
      <c r="Y90" s="53"/>
      <c r="Z90" s="53"/>
    </row>
    <row r="91" spans="1:26" ht="18" customHeight="1">
      <c r="A91" s="363">
        <v>89</v>
      </c>
      <c r="B91" s="110">
        <v>9001855301</v>
      </c>
      <c r="C91" s="310" t="s">
        <v>106</v>
      </c>
      <c r="D91" s="88" t="s">
        <v>173</v>
      </c>
      <c r="E91" s="111">
        <v>55</v>
      </c>
      <c r="F91" s="111">
        <v>35</v>
      </c>
      <c r="G91" s="111">
        <v>16</v>
      </c>
      <c r="H91" s="112">
        <f>+E91*F91*G91*1.77/1000000</f>
        <v>5.4516000000000002E-2</v>
      </c>
      <c r="I91" s="113">
        <f>H91*690</f>
        <v>37.616039999999998</v>
      </c>
      <c r="J91" s="113">
        <v>0</v>
      </c>
      <c r="K91" s="113">
        <v>120</v>
      </c>
      <c r="L91" s="113">
        <v>0</v>
      </c>
      <c r="M91" s="113">
        <f>4*20</f>
        <v>80</v>
      </c>
      <c r="N91" s="113">
        <v>0</v>
      </c>
      <c r="O91" s="113">
        <v>0</v>
      </c>
      <c r="P91" s="113">
        <v>0</v>
      </c>
      <c r="Q91" s="113">
        <v>0</v>
      </c>
      <c r="R91" s="113">
        <v>0</v>
      </c>
      <c r="S91" s="118">
        <f t="shared" si="58"/>
        <v>59.40401</v>
      </c>
      <c r="T91" s="86">
        <v>6</v>
      </c>
      <c r="U91" s="119">
        <f t="shared" si="59"/>
        <v>297.02004999999997</v>
      </c>
      <c r="V91" s="119">
        <f t="shared" si="23"/>
        <v>1782.1202999999998</v>
      </c>
      <c r="W91" s="458"/>
      <c r="X91" s="173"/>
      <c r="Y91" s="53"/>
      <c r="Z91" s="53"/>
    </row>
    <row r="92" spans="1:26" ht="18" customHeight="1">
      <c r="A92" s="374">
        <v>90</v>
      </c>
      <c r="B92" s="345">
        <v>9001856401</v>
      </c>
      <c r="C92" s="320" t="s">
        <v>107</v>
      </c>
      <c r="D92" s="88" t="s">
        <v>173</v>
      </c>
      <c r="E92" s="111">
        <v>55</v>
      </c>
      <c r="F92" s="111">
        <v>35</v>
      </c>
      <c r="G92" s="111">
        <v>16</v>
      </c>
      <c r="H92" s="112">
        <f>+E92*F92*G92*1.77/1000000</f>
        <v>5.4516000000000002E-2</v>
      </c>
      <c r="I92" s="113">
        <f>H92*690</f>
        <v>37.616039999999998</v>
      </c>
      <c r="J92" s="113">
        <v>0</v>
      </c>
      <c r="K92" s="113">
        <v>120</v>
      </c>
      <c r="L92" s="113">
        <v>0</v>
      </c>
      <c r="M92" s="113">
        <f>4*20</f>
        <v>80</v>
      </c>
      <c r="N92" s="113">
        <v>0</v>
      </c>
      <c r="O92" s="143">
        <v>0</v>
      </c>
      <c r="P92" s="143">
        <v>0</v>
      </c>
      <c r="Q92" s="143">
        <v>0</v>
      </c>
      <c r="R92" s="143">
        <v>0</v>
      </c>
      <c r="S92" s="144">
        <f t="shared" si="58"/>
        <v>59.40401</v>
      </c>
      <c r="T92" s="86">
        <v>6</v>
      </c>
      <c r="U92" s="145">
        <f t="shared" si="59"/>
        <v>297.02004999999997</v>
      </c>
      <c r="V92" s="145">
        <f t="shared" si="23"/>
        <v>1782.1202999999998</v>
      </c>
      <c r="W92" s="463"/>
      <c r="X92" s="176"/>
      <c r="Y92" s="56"/>
      <c r="Z92" s="56"/>
    </row>
    <row r="93" spans="1:26" ht="18" customHeight="1">
      <c r="A93" s="385">
        <v>91</v>
      </c>
      <c r="B93" s="355">
        <v>9001856501</v>
      </c>
      <c r="C93" s="330" t="s">
        <v>108</v>
      </c>
      <c r="D93" s="232" t="s">
        <v>149</v>
      </c>
      <c r="E93" s="233">
        <v>0</v>
      </c>
      <c r="F93" s="233">
        <v>0</v>
      </c>
      <c r="G93" s="233">
        <v>0</v>
      </c>
      <c r="H93" s="234">
        <f t="shared" si="61"/>
        <v>0</v>
      </c>
      <c r="I93" s="235">
        <f t="shared" ref="I93" si="62">H93*350</f>
        <v>0</v>
      </c>
      <c r="J93" s="235">
        <v>0</v>
      </c>
      <c r="K93" s="235">
        <v>0</v>
      </c>
      <c r="L93" s="235">
        <v>0</v>
      </c>
      <c r="M93" s="235">
        <v>0</v>
      </c>
      <c r="N93" s="235">
        <v>0</v>
      </c>
      <c r="O93" s="235">
        <v>0</v>
      </c>
      <c r="P93" s="235">
        <v>0</v>
      </c>
      <c r="Q93" s="235">
        <v>0</v>
      </c>
      <c r="R93" s="235">
        <v>0</v>
      </c>
      <c r="S93" s="236">
        <f t="shared" si="58"/>
        <v>0</v>
      </c>
      <c r="T93" s="210">
        <v>6</v>
      </c>
      <c r="U93" s="237">
        <v>920</v>
      </c>
      <c r="V93" s="237">
        <f t="shared" si="23"/>
        <v>5520</v>
      </c>
      <c r="W93" s="469"/>
      <c r="X93" s="238" t="s">
        <v>158</v>
      </c>
      <c r="Y93" s="75"/>
      <c r="Z93" s="75"/>
    </row>
    <row r="94" spans="1:26" ht="18" customHeight="1">
      <c r="A94" s="381">
        <v>92</v>
      </c>
      <c r="B94" s="351">
        <v>9001856601</v>
      </c>
      <c r="C94" s="326" t="s">
        <v>109</v>
      </c>
      <c r="D94" s="151" t="s">
        <v>149</v>
      </c>
      <c r="E94" s="121">
        <v>300</v>
      </c>
      <c r="F94" s="121">
        <v>250</v>
      </c>
      <c r="G94" s="121">
        <v>6</v>
      </c>
      <c r="H94" s="122">
        <f t="shared" si="61"/>
        <v>3.5325000000000002</v>
      </c>
      <c r="I94" s="123">
        <f>H94*90</f>
        <v>317.92500000000001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600</v>
      </c>
      <c r="Q94" s="123">
        <v>0</v>
      </c>
      <c r="R94" s="123">
        <f>+H94*25</f>
        <v>88.3125</v>
      </c>
      <c r="S94" s="124">
        <f t="shared" si="58"/>
        <v>251.55937499999999</v>
      </c>
      <c r="T94" s="86">
        <v>5</v>
      </c>
      <c r="U94" s="125">
        <f>+SUM(I94:S94)</f>
        <v>1257.796875</v>
      </c>
      <c r="V94" s="125">
        <f t="shared" si="23"/>
        <v>6288.984375</v>
      </c>
      <c r="W94" s="461"/>
      <c r="X94" s="186"/>
      <c r="Y94" s="21"/>
      <c r="Z94" s="21"/>
    </row>
    <row r="95" spans="1:26" ht="18" customHeight="1">
      <c r="A95" s="387">
        <v>93</v>
      </c>
      <c r="B95" s="205">
        <v>9001856701</v>
      </c>
      <c r="C95" s="329" t="s">
        <v>110</v>
      </c>
      <c r="D95" s="205"/>
      <c r="E95" s="213"/>
      <c r="F95" s="213"/>
      <c r="G95" s="213"/>
      <c r="H95" s="214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6"/>
      <c r="T95" s="210">
        <v>2</v>
      </c>
      <c r="U95" s="217">
        <v>7358</v>
      </c>
      <c r="V95" s="217">
        <f t="shared" si="23"/>
        <v>14716</v>
      </c>
      <c r="W95" s="471"/>
      <c r="X95" s="212" t="s">
        <v>158</v>
      </c>
      <c r="Y95" s="74"/>
      <c r="Z95" s="74"/>
    </row>
    <row r="96" spans="1:26" ht="18" customHeight="1">
      <c r="A96" s="388">
        <v>94</v>
      </c>
      <c r="B96" s="357">
        <v>9001857501</v>
      </c>
      <c r="C96" s="332" t="s">
        <v>111</v>
      </c>
      <c r="D96" s="218"/>
      <c r="E96" s="219"/>
      <c r="F96" s="219"/>
      <c r="G96" s="219"/>
      <c r="H96" s="220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2"/>
      <c r="T96" s="210">
        <v>4</v>
      </c>
      <c r="U96" s="223">
        <v>1126</v>
      </c>
      <c r="V96" s="223">
        <f t="shared" si="23"/>
        <v>4504</v>
      </c>
      <c r="W96" s="472"/>
      <c r="X96" s="224" t="s">
        <v>158</v>
      </c>
      <c r="Y96" s="78"/>
      <c r="Z96" s="78"/>
    </row>
    <row r="97" spans="1:26" ht="18" customHeight="1">
      <c r="A97" s="389">
        <v>95</v>
      </c>
      <c r="B97" s="358">
        <v>9001857601</v>
      </c>
      <c r="C97" s="333" t="s">
        <v>112</v>
      </c>
      <c r="D97" s="225"/>
      <c r="E97" s="226"/>
      <c r="F97" s="226"/>
      <c r="G97" s="226"/>
      <c r="H97" s="227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9"/>
      <c r="T97" s="210">
        <v>8</v>
      </c>
      <c r="U97" s="230">
        <v>407</v>
      </c>
      <c r="V97" s="230">
        <f t="shared" si="23"/>
        <v>3256</v>
      </c>
      <c r="W97" s="473"/>
      <c r="X97" s="231" t="s">
        <v>158</v>
      </c>
      <c r="Y97" s="67"/>
      <c r="Z97" s="67"/>
    </row>
    <row r="98" spans="1:26" ht="18" customHeight="1">
      <c r="A98" s="381">
        <v>96</v>
      </c>
      <c r="B98" s="351">
        <v>9001857801</v>
      </c>
      <c r="C98" s="326" t="s">
        <v>113</v>
      </c>
      <c r="D98" s="151" t="s">
        <v>149</v>
      </c>
      <c r="E98" s="121">
        <v>255</v>
      </c>
      <c r="F98" s="121">
        <v>135</v>
      </c>
      <c r="G98" s="121">
        <v>14</v>
      </c>
      <c r="H98" s="122">
        <f>+E98*F98*G98*7.85/1000000</f>
        <v>3.7833074999999998</v>
      </c>
      <c r="I98" s="123">
        <f>H98*90</f>
        <v>340.49767499999996</v>
      </c>
      <c r="J98" s="123">
        <v>0</v>
      </c>
      <c r="K98" s="123">
        <v>450</v>
      </c>
      <c r="L98" s="123">
        <v>600</v>
      </c>
      <c r="M98" s="123">
        <v>0</v>
      </c>
      <c r="N98" s="123">
        <v>0</v>
      </c>
      <c r="O98" s="123">
        <v>150</v>
      </c>
      <c r="P98" s="123">
        <v>0</v>
      </c>
      <c r="Q98" s="123">
        <v>0</v>
      </c>
      <c r="R98" s="123">
        <f>+H98*25</f>
        <v>94.582687499999992</v>
      </c>
      <c r="S98" s="124">
        <f>SUM(I98:R98)*25%</f>
        <v>408.77009062500002</v>
      </c>
      <c r="T98" s="86">
        <v>2</v>
      </c>
      <c r="U98" s="125">
        <f>+SUM(I98:S98)</f>
        <v>2043.8504531250001</v>
      </c>
      <c r="V98" s="125">
        <f t="shared" si="23"/>
        <v>4087.7009062500001</v>
      </c>
      <c r="W98" s="461"/>
      <c r="X98" s="186"/>
      <c r="Y98" s="21"/>
      <c r="Z98" s="21"/>
    </row>
    <row r="99" spans="1:26" ht="18" customHeight="1">
      <c r="A99" s="384">
        <v>97</v>
      </c>
      <c r="B99" s="354">
        <v>9001857901</v>
      </c>
      <c r="C99" s="329" t="s">
        <v>114</v>
      </c>
      <c r="D99" s="205"/>
      <c r="E99" s="206"/>
      <c r="F99" s="206"/>
      <c r="G99" s="206"/>
      <c r="H99" s="207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9"/>
      <c r="T99" s="210">
        <v>2</v>
      </c>
      <c r="U99" s="211">
        <v>476</v>
      </c>
      <c r="V99" s="211">
        <f t="shared" si="23"/>
        <v>952</v>
      </c>
      <c r="W99" s="474"/>
      <c r="X99" s="212" t="s">
        <v>158</v>
      </c>
      <c r="Y99" s="74"/>
      <c r="Z99" s="74"/>
    </row>
    <row r="100" spans="1:26" ht="18" customHeight="1">
      <c r="A100" s="377">
        <v>98</v>
      </c>
      <c r="B100" s="347">
        <v>9001859001</v>
      </c>
      <c r="C100" s="322" t="s">
        <v>115</v>
      </c>
      <c r="D100" s="295"/>
      <c r="E100" s="296"/>
      <c r="F100" s="296"/>
      <c r="G100" s="296"/>
      <c r="H100" s="297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9"/>
      <c r="T100" s="279">
        <v>1</v>
      </c>
      <c r="U100" s="300">
        <f t="shared" ref="U100:U105" si="63">+SUM(I100:S100)</f>
        <v>0</v>
      </c>
      <c r="V100" s="300">
        <f t="shared" si="23"/>
        <v>0</v>
      </c>
      <c r="W100" s="301" t="s">
        <v>169</v>
      </c>
      <c r="X100" s="301"/>
      <c r="Y100" s="66"/>
      <c r="Z100" s="66"/>
    </row>
    <row r="101" spans="1:26" ht="18" customHeight="1">
      <c r="A101" s="374">
        <v>99</v>
      </c>
      <c r="B101" s="345">
        <v>9001861001</v>
      </c>
      <c r="C101" s="320" t="s">
        <v>116</v>
      </c>
      <c r="D101" s="100" t="s">
        <v>172</v>
      </c>
      <c r="E101" s="436">
        <v>55</v>
      </c>
      <c r="F101" s="437"/>
      <c r="G101" s="101">
        <v>70</v>
      </c>
      <c r="H101" s="102">
        <f>+E101*E101*3.14/4*G101*1.77/1000000</f>
        <v>0.29421603749999997</v>
      </c>
      <c r="I101" s="143">
        <f>H101*700</f>
        <v>205.95122624999999</v>
      </c>
      <c r="J101" s="143">
        <v>400</v>
      </c>
      <c r="K101" s="143">
        <v>0</v>
      </c>
      <c r="L101" s="143">
        <v>0</v>
      </c>
      <c r="M101" s="143">
        <v>40</v>
      </c>
      <c r="N101" s="143">
        <v>0</v>
      </c>
      <c r="O101" s="143">
        <v>0</v>
      </c>
      <c r="P101" s="143">
        <v>0</v>
      </c>
      <c r="Q101" s="143">
        <v>0</v>
      </c>
      <c r="R101" s="143">
        <v>0</v>
      </c>
      <c r="S101" s="144">
        <f t="shared" ref="S101:S105" si="64">SUM(I101:R101)*25%</f>
        <v>161.4878065625</v>
      </c>
      <c r="T101" s="100">
        <v>2</v>
      </c>
      <c r="U101" s="145">
        <f t="shared" si="63"/>
        <v>807.43903281250005</v>
      </c>
      <c r="V101" s="145">
        <f t="shared" si="23"/>
        <v>1614.8780656250001</v>
      </c>
      <c r="W101" s="463"/>
      <c r="X101" s="176"/>
      <c r="Y101" s="56"/>
      <c r="Z101" s="56"/>
    </row>
    <row r="102" spans="1:26" ht="18" customHeight="1">
      <c r="A102" s="380">
        <v>100</v>
      </c>
      <c r="B102" s="350">
        <v>9001861101</v>
      </c>
      <c r="C102" s="325" t="s">
        <v>117</v>
      </c>
      <c r="D102" s="192" t="s">
        <v>162</v>
      </c>
      <c r="E102" s="432">
        <v>70</v>
      </c>
      <c r="F102" s="433"/>
      <c r="G102" s="193">
        <v>20</v>
      </c>
      <c r="H102" s="194">
        <f>+E102*E102*3.14/4*G102*8.55/1000000</f>
        <v>0.65775150000000004</v>
      </c>
      <c r="I102" s="195">
        <f t="shared" ref="I102" si="65">H102*350</f>
        <v>230.21302500000002</v>
      </c>
      <c r="J102" s="195">
        <v>350</v>
      </c>
      <c r="K102" s="195">
        <v>0</v>
      </c>
      <c r="L102" s="195">
        <v>0</v>
      </c>
      <c r="M102" s="195">
        <v>100</v>
      </c>
      <c r="N102" s="195">
        <v>0</v>
      </c>
      <c r="O102" s="195">
        <v>0</v>
      </c>
      <c r="P102" s="195">
        <v>0</v>
      </c>
      <c r="Q102" s="195">
        <v>0</v>
      </c>
      <c r="R102" s="195">
        <v>0</v>
      </c>
      <c r="S102" s="196">
        <f t="shared" si="64"/>
        <v>170.05325625</v>
      </c>
      <c r="T102" s="192">
        <v>2</v>
      </c>
      <c r="U102" s="197">
        <f t="shared" si="63"/>
        <v>850.26628125000002</v>
      </c>
      <c r="V102" s="197">
        <f t="shared" si="23"/>
        <v>1700.5325625</v>
      </c>
      <c r="W102" s="466"/>
      <c r="X102" s="198" t="s">
        <v>158</v>
      </c>
      <c r="Y102" s="56"/>
      <c r="Z102" s="56"/>
    </row>
    <row r="103" spans="1:26" ht="18" customHeight="1">
      <c r="A103" s="380">
        <v>101</v>
      </c>
      <c r="B103" s="350">
        <v>9001861201</v>
      </c>
      <c r="C103" s="325" t="s">
        <v>118</v>
      </c>
      <c r="D103" s="192" t="s">
        <v>162</v>
      </c>
      <c r="E103" s="432">
        <v>70</v>
      </c>
      <c r="F103" s="433"/>
      <c r="G103" s="193">
        <v>25</v>
      </c>
      <c r="H103" s="194">
        <f>+E103*E103*3.14/4*G103*8.55/1000000</f>
        <v>0.82218937500000011</v>
      </c>
      <c r="I103" s="195">
        <f t="shared" ref="I103" si="66">H103*350</f>
        <v>287.76628125000002</v>
      </c>
      <c r="J103" s="195">
        <v>450</v>
      </c>
      <c r="K103" s="195">
        <v>0</v>
      </c>
      <c r="L103" s="195">
        <v>0</v>
      </c>
      <c r="M103" s="195">
        <v>100</v>
      </c>
      <c r="N103" s="195">
        <v>0</v>
      </c>
      <c r="O103" s="195">
        <v>0</v>
      </c>
      <c r="P103" s="195">
        <v>0</v>
      </c>
      <c r="Q103" s="195">
        <v>0</v>
      </c>
      <c r="R103" s="195">
        <v>0</v>
      </c>
      <c r="S103" s="196">
        <f t="shared" si="64"/>
        <v>209.44157031250001</v>
      </c>
      <c r="T103" s="192">
        <v>2</v>
      </c>
      <c r="U103" s="197">
        <f t="shared" si="63"/>
        <v>1047.2078515625001</v>
      </c>
      <c r="V103" s="197">
        <f t="shared" si="23"/>
        <v>2094.4157031250002</v>
      </c>
      <c r="W103" s="466"/>
      <c r="X103" s="198" t="s">
        <v>158</v>
      </c>
      <c r="Y103" s="56"/>
      <c r="Z103" s="56"/>
    </row>
    <row r="104" spans="1:26" ht="18" customHeight="1">
      <c r="A104" s="380">
        <v>102</v>
      </c>
      <c r="B104" s="350">
        <v>9001861401</v>
      </c>
      <c r="C104" s="325" t="s">
        <v>119</v>
      </c>
      <c r="D104" s="192" t="s">
        <v>174</v>
      </c>
      <c r="E104" s="432">
        <v>25</v>
      </c>
      <c r="F104" s="433"/>
      <c r="G104" s="193">
        <v>30</v>
      </c>
      <c r="H104" s="194">
        <f>+E104*E104*3.14/4*G104*1.77/1000000</f>
        <v>2.6052187500000001E-2</v>
      </c>
      <c r="I104" s="195">
        <f>H104*3000</f>
        <v>78.156562500000007</v>
      </c>
      <c r="J104" s="195">
        <v>150</v>
      </c>
      <c r="K104" s="195">
        <v>0</v>
      </c>
      <c r="L104" s="195">
        <v>0</v>
      </c>
      <c r="M104" s="195">
        <v>0</v>
      </c>
      <c r="N104" s="195">
        <v>0</v>
      </c>
      <c r="O104" s="195">
        <v>0</v>
      </c>
      <c r="P104" s="195">
        <v>0</v>
      </c>
      <c r="Q104" s="195">
        <v>0</v>
      </c>
      <c r="R104" s="195">
        <v>0</v>
      </c>
      <c r="S104" s="196">
        <f t="shared" si="64"/>
        <v>57.039140625000002</v>
      </c>
      <c r="T104" s="192">
        <v>2</v>
      </c>
      <c r="U104" s="197">
        <f t="shared" si="63"/>
        <v>285.19570312500002</v>
      </c>
      <c r="V104" s="197">
        <f t="shared" si="23"/>
        <v>570.39140625000005</v>
      </c>
      <c r="W104" s="466"/>
      <c r="X104" s="198" t="s">
        <v>158</v>
      </c>
      <c r="Y104" s="56"/>
      <c r="Z104" s="56"/>
    </row>
    <row r="105" spans="1:26" ht="18" customHeight="1" thickBot="1">
      <c r="A105" s="390">
        <v>103</v>
      </c>
      <c r="B105" s="359">
        <v>9001861501</v>
      </c>
      <c r="C105" s="334" t="s">
        <v>120</v>
      </c>
      <c r="D105" s="199" t="s">
        <v>175</v>
      </c>
      <c r="E105" s="434">
        <v>35</v>
      </c>
      <c r="F105" s="435"/>
      <c r="G105" s="200">
        <v>20</v>
      </c>
      <c r="H105" s="201">
        <f>+E105*E105*3.14/4*G105*8.55/1000000</f>
        <v>0.16443787500000001</v>
      </c>
      <c r="I105" s="202">
        <f>+H105*1200</f>
        <v>197.32545000000002</v>
      </c>
      <c r="J105" s="202">
        <v>220</v>
      </c>
      <c r="K105" s="202">
        <v>0</v>
      </c>
      <c r="L105" s="202">
        <v>0</v>
      </c>
      <c r="M105" s="202">
        <f>13*20</f>
        <v>260</v>
      </c>
      <c r="N105" s="202">
        <v>0</v>
      </c>
      <c r="O105" s="202">
        <v>0</v>
      </c>
      <c r="P105" s="202">
        <v>0</v>
      </c>
      <c r="Q105" s="202">
        <v>0</v>
      </c>
      <c r="R105" s="202">
        <v>0</v>
      </c>
      <c r="S105" s="203">
        <f t="shared" si="64"/>
        <v>169.33136250000001</v>
      </c>
      <c r="T105" s="199">
        <v>2</v>
      </c>
      <c r="U105" s="396">
        <f t="shared" si="63"/>
        <v>846.65681250000011</v>
      </c>
      <c r="V105" s="396">
        <f t="shared" si="23"/>
        <v>1693.3136250000002</v>
      </c>
      <c r="W105" s="475"/>
      <c r="X105" s="204" t="s">
        <v>158</v>
      </c>
      <c r="Y105" s="56"/>
      <c r="Z105" s="56"/>
    </row>
    <row r="106" spans="1:26" ht="15.75" customHeight="1" thickBot="1">
      <c r="A106" s="17"/>
      <c r="B106" s="18"/>
      <c r="C106" s="19"/>
      <c r="D106" s="20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8" t="s">
        <v>121</v>
      </c>
      <c r="V106" s="397">
        <f>SUM(V3:V105)</f>
        <v>765381.76914271922</v>
      </c>
      <c r="W106" s="476"/>
      <c r="X106" s="21"/>
      <c r="Y106" s="21"/>
      <c r="Z106" s="21"/>
    </row>
    <row r="107" spans="1:26" ht="15.75" customHeight="1">
      <c r="A107" s="17"/>
      <c r="B107" s="18"/>
      <c r="C107" s="19"/>
      <c r="D107" s="2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21"/>
      <c r="X107" s="21"/>
      <c r="Y107" s="21"/>
      <c r="Z107" s="21"/>
    </row>
    <row r="108" spans="1:26" ht="15.75" customHeight="1">
      <c r="A108" s="17"/>
      <c r="B108" s="18"/>
      <c r="C108" s="19"/>
      <c r="D108" s="20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21"/>
      <c r="X108" s="21"/>
      <c r="Y108" s="21"/>
      <c r="Z108" s="21"/>
    </row>
    <row r="109" spans="1:26" ht="15.75" customHeight="1">
      <c r="A109" s="17"/>
      <c r="B109" s="18"/>
      <c r="C109" s="19"/>
      <c r="D109" s="20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21"/>
      <c r="X109" s="21"/>
      <c r="Y109" s="21"/>
      <c r="Z109" s="21"/>
    </row>
    <row r="110" spans="1:26" ht="15.75" customHeight="1">
      <c r="A110" s="17"/>
      <c r="B110" s="18"/>
      <c r="C110" s="19"/>
      <c r="D110" s="20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21"/>
      <c r="X110" s="21"/>
      <c r="Y110" s="21"/>
      <c r="Z110" s="21"/>
    </row>
    <row r="111" spans="1:26" ht="15.75" customHeight="1">
      <c r="A111" s="17"/>
      <c r="B111" s="18"/>
      <c r="C111" s="19"/>
      <c r="D111" s="2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21"/>
      <c r="X111" s="21"/>
      <c r="Y111" s="21"/>
      <c r="Z111" s="21"/>
    </row>
    <row r="112" spans="1:26" ht="15.75" customHeight="1">
      <c r="A112" s="17"/>
      <c r="B112" s="18"/>
      <c r="C112" s="19"/>
      <c r="D112" s="20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21"/>
      <c r="X112" s="21"/>
      <c r="Y112" s="21"/>
      <c r="Z112" s="21"/>
    </row>
    <row r="113" spans="1:26" ht="15.75" customHeight="1">
      <c r="A113" s="17"/>
      <c r="B113" s="18"/>
      <c r="C113" s="19"/>
      <c r="D113" s="20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21"/>
      <c r="X113" s="21"/>
      <c r="Y113" s="21"/>
      <c r="Z113" s="21"/>
    </row>
    <row r="114" spans="1:26" ht="15.75" customHeight="1">
      <c r="A114" s="17"/>
      <c r="B114" s="18"/>
      <c r="C114" s="19"/>
      <c r="D114" s="20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21"/>
      <c r="X114" s="21"/>
      <c r="Y114" s="21"/>
      <c r="Z114" s="21"/>
    </row>
    <row r="115" spans="1:26" ht="15.75" customHeight="1">
      <c r="A115" s="17"/>
      <c r="B115" s="18"/>
      <c r="C115" s="19"/>
      <c r="D115" s="20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21"/>
      <c r="X115" s="21"/>
      <c r="Y115" s="21"/>
      <c r="Z115" s="21"/>
    </row>
    <row r="116" spans="1:26" ht="15.75" customHeight="1">
      <c r="A116" s="17"/>
      <c r="B116" s="18"/>
      <c r="C116" s="19"/>
      <c r="D116" s="2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21"/>
      <c r="X116" s="21"/>
      <c r="Y116" s="21"/>
      <c r="Z116" s="21"/>
    </row>
    <row r="117" spans="1:26" ht="15.75" customHeight="1">
      <c r="A117" s="17"/>
      <c r="B117" s="18"/>
      <c r="C117" s="19"/>
      <c r="D117" s="2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21"/>
      <c r="X117" s="21"/>
      <c r="Y117" s="21"/>
      <c r="Z117" s="21"/>
    </row>
    <row r="118" spans="1:26" ht="15.75" customHeight="1">
      <c r="A118" s="17"/>
      <c r="B118" s="18"/>
      <c r="C118" s="19"/>
      <c r="D118" s="2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21"/>
      <c r="X118" s="21"/>
      <c r="Y118" s="21"/>
      <c r="Z118" s="21"/>
    </row>
    <row r="119" spans="1:26" ht="15.75" customHeight="1">
      <c r="A119" s="17"/>
      <c r="B119" s="18"/>
      <c r="C119" s="19"/>
      <c r="D119" s="2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21"/>
      <c r="X119" s="21"/>
      <c r="Y119" s="21"/>
      <c r="Z119" s="21"/>
    </row>
    <row r="120" spans="1:26" ht="15.75" customHeight="1">
      <c r="A120" s="17"/>
      <c r="B120" s="18"/>
      <c r="C120" s="19"/>
      <c r="D120" s="2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21"/>
      <c r="X120" s="21"/>
      <c r="Y120" s="21"/>
      <c r="Z120" s="21"/>
    </row>
    <row r="121" spans="1:26" ht="15.75" customHeight="1">
      <c r="A121" s="17"/>
      <c r="B121" s="18"/>
      <c r="C121" s="19"/>
      <c r="D121" s="2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21"/>
      <c r="X121" s="21"/>
      <c r="Y121" s="21"/>
      <c r="Z121" s="21"/>
    </row>
    <row r="122" spans="1:26" ht="15.75" customHeight="1">
      <c r="A122" s="17"/>
      <c r="B122" s="18"/>
      <c r="C122" s="19"/>
      <c r="D122" s="2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21"/>
      <c r="X122" s="21"/>
      <c r="Y122" s="21"/>
      <c r="Z122" s="21"/>
    </row>
    <row r="123" spans="1:26" ht="15.75" customHeight="1">
      <c r="A123" s="17"/>
      <c r="B123" s="18"/>
      <c r="C123" s="19"/>
      <c r="D123" s="2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21"/>
      <c r="X123" s="21"/>
      <c r="Y123" s="21"/>
      <c r="Z123" s="21"/>
    </row>
    <row r="124" spans="1:26" ht="15.75" customHeight="1">
      <c r="A124" s="17"/>
      <c r="B124" s="18"/>
      <c r="C124" s="19"/>
      <c r="D124" s="20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21"/>
      <c r="X124" s="21"/>
      <c r="Y124" s="21"/>
      <c r="Z124" s="21"/>
    </row>
    <row r="125" spans="1:26" ht="15.75" customHeight="1">
      <c r="A125" s="17"/>
      <c r="B125" s="18"/>
      <c r="C125" s="19"/>
      <c r="D125" s="20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21"/>
      <c r="X125" s="21"/>
      <c r="Y125" s="21"/>
      <c r="Z125" s="21"/>
    </row>
    <row r="126" spans="1:26" ht="15.75" customHeight="1">
      <c r="A126" s="17"/>
      <c r="B126" s="18"/>
      <c r="C126" s="19"/>
      <c r="D126" s="20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21"/>
      <c r="X126" s="21"/>
      <c r="Y126" s="21"/>
      <c r="Z126" s="21"/>
    </row>
    <row r="127" spans="1:26" ht="15.75" customHeight="1">
      <c r="A127" s="17"/>
      <c r="B127" s="18"/>
      <c r="C127" s="19"/>
      <c r="D127" s="20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21"/>
      <c r="X127" s="21"/>
      <c r="Y127" s="21"/>
      <c r="Z127" s="21"/>
    </row>
    <row r="128" spans="1:26" ht="15.75" customHeight="1">
      <c r="A128" s="17"/>
      <c r="B128" s="18"/>
      <c r="C128" s="19"/>
      <c r="D128" s="20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21"/>
      <c r="X128" s="21"/>
      <c r="Y128" s="21"/>
      <c r="Z128" s="21"/>
    </row>
    <row r="129" spans="1:26" ht="15.75" customHeight="1">
      <c r="A129" s="17"/>
      <c r="B129" s="18"/>
      <c r="C129" s="19"/>
      <c r="D129" s="20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21"/>
      <c r="X129" s="21"/>
      <c r="Y129" s="21"/>
      <c r="Z129" s="21"/>
    </row>
    <row r="130" spans="1:26" ht="15.75" customHeight="1">
      <c r="A130" s="17"/>
      <c r="B130" s="18"/>
      <c r="C130" s="19"/>
      <c r="D130" s="20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21"/>
      <c r="X130" s="21"/>
      <c r="Y130" s="21"/>
      <c r="Z130" s="21"/>
    </row>
    <row r="131" spans="1:26" ht="15.75" customHeight="1">
      <c r="A131" s="17"/>
      <c r="B131" s="18"/>
      <c r="C131" s="19"/>
      <c r="D131" s="20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21"/>
      <c r="X131" s="21"/>
      <c r="Y131" s="21"/>
      <c r="Z131" s="21"/>
    </row>
    <row r="132" spans="1:26" ht="15.75" customHeight="1">
      <c r="A132" s="17"/>
      <c r="B132" s="18"/>
      <c r="C132" s="19"/>
      <c r="D132" s="20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21"/>
      <c r="X132" s="21"/>
      <c r="Y132" s="21"/>
      <c r="Z132" s="21"/>
    </row>
    <row r="133" spans="1:26" ht="15.75" customHeight="1">
      <c r="A133" s="17"/>
      <c r="B133" s="18"/>
      <c r="C133" s="19"/>
      <c r="D133" s="20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21"/>
      <c r="X133" s="21"/>
      <c r="Y133" s="21"/>
      <c r="Z133" s="21"/>
    </row>
    <row r="134" spans="1:26" ht="15.75" customHeight="1">
      <c r="A134" s="17"/>
      <c r="B134" s="18"/>
      <c r="C134" s="19"/>
      <c r="D134" s="20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21"/>
      <c r="X134" s="21"/>
      <c r="Y134" s="21"/>
      <c r="Z134" s="21"/>
    </row>
    <row r="135" spans="1:26" ht="15.75" customHeight="1">
      <c r="A135" s="17"/>
      <c r="B135" s="18"/>
      <c r="C135" s="19"/>
      <c r="D135" s="20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21"/>
      <c r="X135" s="21"/>
      <c r="Y135" s="21"/>
      <c r="Z135" s="21"/>
    </row>
    <row r="136" spans="1:26" ht="15.75" customHeight="1">
      <c r="A136" s="17"/>
      <c r="B136" s="18"/>
      <c r="C136" s="19"/>
      <c r="D136" s="2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21"/>
      <c r="X136" s="21"/>
      <c r="Y136" s="21"/>
      <c r="Z136" s="21"/>
    </row>
    <row r="137" spans="1:26" ht="15.75" customHeight="1">
      <c r="A137" s="17"/>
      <c r="B137" s="18"/>
      <c r="C137" s="19"/>
      <c r="D137" s="2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21"/>
      <c r="X137" s="21"/>
      <c r="Y137" s="21"/>
      <c r="Z137" s="21"/>
    </row>
    <row r="138" spans="1:26" ht="15.75" customHeight="1">
      <c r="A138" s="17"/>
      <c r="B138" s="18"/>
      <c r="C138" s="19"/>
      <c r="D138" s="20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21"/>
      <c r="X138" s="21"/>
      <c r="Y138" s="21"/>
      <c r="Z138" s="21"/>
    </row>
    <row r="139" spans="1:26" ht="15.75" customHeight="1">
      <c r="A139" s="17"/>
      <c r="B139" s="18"/>
      <c r="C139" s="19"/>
      <c r="D139" s="20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21"/>
      <c r="X139" s="21"/>
      <c r="Y139" s="21"/>
      <c r="Z139" s="21"/>
    </row>
    <row r="140" spans="1:26" ht="15.75" customHeight="1">
      <c r="A140" s="17"/>
      <c r="B140" s="18"/>
      <c r="C140" s="19"/>
      <c r="D140" s="20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21"/>
      <c r="X140" s="21"/>
      <c r="Y140" s="21"/>
      <c r="Z140" s="21"/>
    </row>
    <row r="141" spans="1:26" ht="15.75" customHeight="1">
      <c r="A141" s="17"/>
      <c r="B141" s="18"/>
      <c r="C141" s="19"/>
      <c r="D141" s="2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21"/>
      <c r="X141" s="21"/>
      <c r="Y141" s="21"/>
      <c r="Z141" s="21"/>
    </row>
    <row r="142" spans="1:26" ht="15.75" customHeight="1">
      <c r="A142" s="17"/>
      <c r="B142" s="18"/>
      <c r="C142" s="19"/>
      <c r="D142" s="2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21"/>
      <c r="X142" s="21"/>
      <c r="Y142" s="21"/>
      <c r="Z142" s="21"/>
    </row>
    <row r="143" spans="1:26" ht="15.75" customHeight="1">
      <c r="A143" s="17"/>
      <c r="B143" s="18"/>
      <c r="C143" s="19"/>
      <c r="D143" s="2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21"/>
      <c r="X143" s="21"/>
      <c r="Y143" s="21"/>
      <c r="Z143" s="21"/>
    </row>
    <row r="144" spans="1:26" ht="15.75" customHeight="1">
      <c r="A144" s="17"/>
      <c r="B144" s="18"/>
      <c r="C144" s="19"/>
      <c r="D144" s="2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21"/>
      <c r="X144" s="21"/>
      <c r="Y144" s="21"/>
      <c r="Z144" s="21"/>
    </row>
    <row r="145" spans="1:26" ht="15.75" customHeight="1">
      <c r="A145" s="17"/>
      <c r="B145" s="18"/>
      <c r="C145" s="19"/>
      <c r="D145" s="2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21"/>
      <c r="X145" s="21"/>
      <c r="Y145" s="21"/>
      <c r="Z145" s="21"/>
    </row>
    <row r="146" spans="1:26" ht="15.75" customHeight="1">
      <c r="A146" s="17"/>
      <c r="B146" s="18"/>
      <c r="C146" s="19"/>
      <c r="D146" s="2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21"/>
      <c r="X146" s="21"/>
      <c r="Y146" s="21"/>
      <c r="Z146" s="21"/>
    </row>
    <row r="147" spans="1:26" ht="15.75" customHeight="1">
      <c r="A147" s="17"/>
      <c r="B147" s="18"/>
      <c r="C147" s="19"/>
      <c r="D147" s="20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21"/>
      <c r="X147" s="21"/>
      <c r="Y147" s="21"/>
      <c r="Z147" s="21"/>
    </row>
    <row r="148" spans="1:26" ht="15.75" customHeight="1">
      <c r="A148" s="17"/>
      <c r="B148" s="18"/>
      <c r="C148" s="19"/>
      <c r="D148" s="20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21"/>
      <c r="X148" s="21"/>
      <c r="Y148" s="21"/>
      <c r="Z148" s="21"/>
    </row>
    <row r="149" spans="1:26" ht="15.75" customHeight="1">
      <c r="A149" s="17"/>
      <c r="B149" s="18"/>
      <c r="C149" s="19"/>
      <c r="D149" s="20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21"/>
      <c r="X149" s="21"/>
      <c r="Y149" s="21"/>
      <c r="Z149" s="21"/>
    </row>
    <row r="150" spans="1:26" ht="15.75" customHeight="1">
      <c r="A150" s="17"/>
      <c r="B150" s="18"/>
      <c r="C150" s="19"/>
      <c r="D150" s="20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21"/>
      <c r="X150" s="21"/>
      <c r="Y150" s="21"/>
      <c r="Z150" s="21"/>
    </row>
    <row r="151" spans="1:26" ht="15.75" customHeight="1">
      <c r="A151" s="17"/>
      <c r="B151" s="18"/>
      <c r="C151" s="19"/>
      <c r="D151" s="20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21"/>
      <c r="X151" s="21"/>
      <c r="Y151" s="21"/>
      <c r="Z151" s="21"/>
    </row>
    <row r="152" spans="1:26" ht="15.75" customHeight="1">
      <c r="A152" s="17"/>
      <c r="B152" s="18"/>
      <c r="C152" s="19"/>
      <c r="D152" s="20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21"/>
      <c r="X152" s="21"/>
      <c r="Y152" s="21"/>
      <c r="Z152" s="21"/>
    </row>
    <row r="153" spans="1:26" ht="15.75" customHeight="1">
      <c r="A153" s="17"/>
      <c r="B153" s="18"/>
      <c r="C153" s="19"/>
      <c r="D153" s="20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21"/>
      <c r="X153" s="21"/>
      <c r="Y153" s="21"/>
      <c r="Z153" s="21"/>
    </row>
    <row r="154" spans="1:26" ht="15.75" customHeight="1">
      <c r="A154" s="17"/>
      <c r="B154" s="18"/>
      <c r="C154" s="19"/>
      <c r="D154" s="20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21"/>
      <c r="X154" s="21"/>
      <c r="Y154" s="21"/>
      <c r="Z154" s="21"/>
    </row>
    <row r="155" spans="1:26" ht="15.75" customHeight="1">
      <c r="A155" s="17"/>
      <c r="B155" s="18"/>
      <c r="C155" s="19"/>
      <c r="D155" s="20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21"/>
      <c r="X155" s="21"/>
      <c r="Y155" s="21"/>
      <c r="Z155" s="21"/>
    </row>
    <row r="156" spans="1:26" ht="15.75" customHeight="1">
      <c r="A156" s="17"/>
      <c r="B156" s="18"/>
      <c r="C156" s="19"/>
      <c r="D156" s="20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21"/>
      <c r="X156" s="21"/>
      <c r="Y156" s="21"/>
      <c r="Z156" s="21"/>
    </row>
    <row r="157" spans="1:26" ht="15.75" customHeight="1">
      <c r="A157" s="17"/>
      <c r="B157" s="18"/>
      <c r="C157" s="19"/>
      <c r="D157" s="20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21"/>
      <c r="X157" s="21"/>
      <c r="Y157" s="21"/>
      <c r="Z157" s="21"/>
    </row>
    <row r="158" spans="1:26" ht="15.75" customHeight="1">
      <c r="A158" s="17"/>
      <c r="B158" s="18"/>
      <c r="C158" s="19"/>
      <c r="D158" s="20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21"/>
      <c r="X158" s="21"/>
      <c r="Y158" s="21"/>
      <c r="Z158" s="21"/>
    </row>
    <row r="159" spans="1:26" ht="15.75" customHeight="1">
      <c r="A159" s="17"/>
      <c r="B159" s="18"/>
      <c r="C159" s="19"/>
      <c r="D159" s="20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21"/>
      <c r="X159" s="21"/>
      <c r="Y159" s="21"/>
      <c r="Z159" s="21"/>
    </row>
    <row r="160" spans="1:26" ht="15.75" customHeight="1">
      <c r="A160" s="17"/>
      <c r="B160" s="18"/>
      <c r="C160" s="19"/>
      <c r="D160" s="20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21"/>
      <c r="X160" s="21"/>
      <c r="Y160" s="21"/>
      <c r="Z160" s="21"/>
    </row>
    <row r="161" spans="1:26" ht="15.75" customHeight="1">
      <c r="A161" s="17"/>
      <c r="B161" s="18"/>
      <c r="C161" s="19"/>
      <c r="D161" s="20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21"/>
      <c r="X161" s="21"/>
      <c r="Y161" s="21"/>
      <c r="Z161" s="21"/>
    </row>
    <row r="162" spans="1:26" ht="15.75" customHeight="1">
      <c r="A162" s="17"/>
      <c r="B162" s="18"/>
      <c r="C162" s="19"/>
      <c r="D162" s="20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21"/>
      <c r="X162" s="21"/>
      <c r="Y162" s="21"/>
      <c r="Z162" s="21"/>
    </row>
    <row r="163" spans="1:26" ht="15.75" customHeight="1">
      <c r="A163" s="17"/>
      <c r="B163" s="18"/>
      <c r="C163" s="19"/>
      <c r="D163" s="20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21"/>
      <c r="X163" s="21"/>
      <c r="Y163" s="21"/>
      <c r="Z163" s="21"/>
    </row>
    <row r="164" spans="1:26" ht="15.75" customHeight="1">
      <c r="A164" s="17"/>
      <c r="B164" s="18"/>
      <c r="C164" s="19"/>
      <c r="D164" s="20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21"/>
      <c r="X164" s="21"/>
      <c r="Y164" s="21"/>
      <c r="Z164" s="21"/>
    </row>
    <row r="165" spans="1:26" ht="15.75" customHeight="1">
      <c r="A165" s="17"/>
      <c r="B165" s="18"/>
      <c r="C165" s="19"/>
      <c r="D165" s="20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21"/>
      <c r="X165" s="21"/>
      <c r="Y165" s="21"/>
      <c r="Z165" s="21"/>
    </row>
    <row r="166" spans="1:26" ht="15.75" customHeight="1">
      <c r="A166" s="17"/>
      <c r="B166" s="18"/>
      <c r="C166" s="19"/>
      <c r="D166" s="2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21"/>
      <c r="X166" s="21"/>
      <c r="Y166" s="21"/>
      <c r="Z166" s="21"/>
    </row>
    <row r="167" spans="1:26" ht="15.75" customHeight="1">
      <c r="A167" s="17"/>
      <c r="B167" s="18"/>
      <c r="C167" s="19"/>
      <c r="D167" s="2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21"/>
      <c r="X167" s="21"/>
      <c r="Y167" s="21"/>
      <c r="Z167" s="21"/>
    </row>
    <row r="168" spans="1:26" ht="15.75" customHeight="1">
      <c r="A168" s="17"/>
      <c r="B168" s="18"/>
      <c r="C168" s="19"/>
      <c r="D168" s="2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21"/>
      <c r="X168" s="21"/>
      <c r="Y168" s="21"/>
      <c r="Z168" s="21"/>
    </row>
    <row r="169" spans="1:26" ht="15.75" customHeight="1">
      <c r="A169" s="17"/>
      <c r="B169" s="18"/>
      <c r="C169" s="19"/>
      <c r="D169" s="2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21"/>
      <c r="X169" s="21"/>
      <c r="Y169" s="21"/>
      <c r="Z169" s="21"/>
    </row>
    <row r="170" spans="1:26" ht="15.75" customHeight="1">
      <c r="A170" s="17"/>
      <c r="B170" s="18"/>
      <c r="C170" s="19"/>
      <c r="D170" s="2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21"/>
      <c r="X170" s="21"/>
      <c r="Y170" s="21"/>
      <c r="Z170" s="21"/>
    </row>
    <row r="171" spans="1:26" ht="15.75" customHeight="1">
      <c r="A171" s="17"/>
      <c r="B171" s="18"/>
      <c r="C171" s="19"/>
      <c r="D171" s="2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21"/>
      <c r="X171" s="21"/>
      <c r="Y171" s="21"/>
      <c r="Z171" s="21"/>
    </row>
    <row r="172" spans="1:26" ht="15.75" customHeight="1">
      <c r="A172" s="17"/>
      <c r="B172" s="18"/>
      <c r="C172" s="19"/>
      <c r="D172" s="20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21"/>
      <c r="X172" s="21"/>
      <c r="Y172" s="21"/>
      <c r="Z172" s="21"/>
    </row>
    <row r="173" spans="1:26" ht="15.75" customHeight="1">
      <c r="A173" s="17"/>
      <c r="B173" s="18"/>
      <c r="C173" s="19"/>
      <c r="D173" s="20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21"/>
      <c r="X173" s="21"/>
      <c r="Y173" s="21"/>
      <c r="Z173" s="21"/>
    </row>
    <row r="174" spans="1:26" ht="15.75" customHeight="1">
      <c r="A174" s="17"/>
      <c r="B174" s="18"/>
      <c r="C174" s="19"/>
      <c r="D174" s="20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21"/>
      <c r="X174" s="21"/>
      <c r="Y174" s="21"/>
      <c r="Z174" s="21"/>
    </row>
    <row r="175" spans="1:26" ht="15.75" customHeight="1">
      <c r="A175" s="17"/>
      <c r="B175" s="18"/>
      <c r="C175" s="19"/>
      <c r="D175" s="20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21"/>
      <c r="X175" s="21"/>
      <c r="Y175" s="21"/>
      <c r="Z175" s="21"/>
    </row>
    <row r="176" spans="1:26" ht="15.75" customHeight="1">
      <c r="A176" s="17"/>
      <c r="B176" s="18"/>
      <c r="C176" s="19"/>
      <c r="D176" s="20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21"/>
      <c r="X176" s="21"/>
      <c r="Y176" s="21"/>
      <c r="Z176" s="21"/>
    </row>
    <row r="177" spans="1:26" ht="15.75" customHeight="1">
      <c r="A177" s="17"/>
      <c r="B177" s="18"/>
      <c r="C177" s="19"/>
      <c r="D177" s="20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21"/>
      <c r="X177" s="21"/>
      <c r="Y177" s="21"/>
      <c r="Z177" s="21"/>
    </row>
    <row r="178" spans="1:26" ht="15.75" customHeight="1">
      <c r="A178" s="17"/>
      <c r="B178" s="18"/>
      <c r="C178" s="19"/>
      <c r="D178" s="20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21"/>
      <c r="X178" s="21"/>
      <c r="Y178" s="21"/>
      <c r="Z178" s="21"/>
    </row>
    <row r="179" spans="1:26" ht="15.75" customHeight="1">
      <c r="A179" s="17"/>
      <c r="B179" s="18"/>
      <c r="C179" s="19"/>
      <c r="D179" s="20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21"/>
      <c r="X179" s="21"/>
      <c r="Y179" s="21"/>
      <c r="Z179" s="21"/>
    </row>
    <row r="180" spans="1:26" ht="15.75" customHeight="1">
      <c r="A180" s="17"/>
      <c r="B180" s="18"/>
      <c r="C180" s="19"/>
      <c r="D180" s="20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21"/>
      <c r="X180" s="21"/>
      <c r="Y180" s="21"/>
      <c r="Z180" s="21"/>
    </row>
    <row r="181" spans="1:26" ht="15.75" customHeight="1">
      <c r="A181" s="17"/>
      <c r="B181" s="18"/>
      <c r="C181" s="19"/>
      <c r="D181" s="20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21"/>
      <c r="X181" s="21"/>
      <c r="Y181" s="21"/>
      <c r="Z181" s="21"/>
    </row>
    <row r="182" spans="1:26" ht="15.75" customHeight="1">
      <c r="A182" s="17"/>
      <c r="B182" s="18"/>
      <c r="C182" s="19"/>
      <c r="D182" s="20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21"/>
      <c r="X182" s="21"/>
      <c r="Y182" s="21"/>
      <c r="Z182" s="21"/>
    </row>
    <row r="183" spans="1:26" ht="15.75" customHeight="1">
      <c r="A183" s="17"/>
      <c r="B183" s="18"/>
      <c r="C183" s="19"/>
      <c r="D183" s="20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21"/>
      <c r="X183" s="21"/>
      <c r="Y183" s="21"/>
      <c r="Z183" s="21"/>
    </row>
    <row r="184" spans="1:26" ht="15.75" customHeight="1">
      <c r="A184" s="17"/>
      <c r="B184" s="18"/>
      <c r="C184" s="19"/>
      <c r="D184" s="20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21"/>
      <c r="X184" s="21"/>
      <c r="Y184" s="21"/>
      <c r="Z184" s="21"/>
    </row>
    <row r="185" spans="1:26" ht="15.75" customHeight="1">
      <c r="A185" s="17"/>
      <c r="B185" s="18"/>
      <c r="C185" s="19"/>
      <c r="D185" s="20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21"/>
      <c r="X185" s="21"/>
      <c r="Y185" s="21"/>
      <c r="Z185" s="21"/>
    </row>
    <row r="186" spans="1:26" ht="15.75" customHeight="1">
      <c r="A186" s="17"/>
      <c r="B186" s="18"/>
      <c r="C186" s="19"/>
      <c r="D186" s="20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21"/>
      <c r="X186" s="21"/>
      <c r="Y186" s="21"/>
      <c r="Z186" s="21"/>
    </row>
    <row r="187" spans="1:26" ht="15.75" customHeight="1">
      <c r="A187" s="17"/>
      <c r="B187" s="18"/>
      <c r="C187" s="19"/>
      <c r="D187" s="20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21"/>
      <c r="X187" s="21"/>
      <c r="Y187" s="21"/>
      <c r="Z187" s="21"/>
    </row>
    <row r="188" spans="1:26" ht="15.75" customHeight="1">
      <c r="A188" s="17"/>
      <c r="B188" s="18"/>
      <c r="C188" s="19"/>
      <c r="D188" s="20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21"/>
      <c r="X188" s="21"/>
      <c r="Y188" s="21"/>
      <c r="Z188" s="21"/>
    </row>
    <row r="189" spans="1:26" ht="15.75" customHeight="1">
      <c r="A189" s="17"/>
      <c r="B189" s="18"/>
      <c r="C189" s="19"/>
      <c r="D189" s="20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21"/>
      <c r="X189" s="21"/>
      <c r="Y189" s="21"/>
      <c r="Z189" s="21"/>
    </row>
    <row r="190" spans="1:26" ht="15.75" customHeight="1">
      <c r="A190" s="17"/>
      <c r="B190" s="18"/>
      <c r="C190" s="19"/>
      <c r="D190" s="20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21"/>
      <c r="X190" s="21"/>
      <c r="Y190" s="21"/>
      <c r="Z190" s="21"/>
    </row>
    <row r="191" spans="1:26" ht="15.75" customHeight="1">
      <c r="A191" s="17"/>
      <c r="B191" s="18"/>
      <c r="C191" s="19"/>
      <c r="D191" s="2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21"/>
      <c r="X191" s="21"/>
      <c r="Y191" s="21"/>
      <c r="Z191" s="21"/>
    </row>
    <row r="192" spans="1:26" ht="15.75" customHeight="1">
      <c r="A192" s="17"/>
      <c r="B192" s="18"/>
      <c r="C192" s="19"/>
      <c r="D192" s="2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21"/>
      <c r="X192" s="21"/>
      <c r="Y192" s="21"/>
      <c r="Z192" s="21"/>
    </row>
    <row r="193" spans="1:26" ht="15.75" customHeight="1">
      <c r="A193" s="17"/>
      <c r="B193" s="18"/>
      <c r="C193" s="19"/>
      <c r="D193" s="2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21"/>
      <c r="X193" s="21"/>
      <c r="Y193" s="21"/>
      <c r="Z193" s="21"/>
    </row>
    <row r="194" spans="1:26" ht="15.75" customHeight="1">
      <c r="A194" s="17"/>
      <c r="B194" s="18"/>
      <c r="C194" s="19"/>
      <c r="D194" s="2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21"/>
      <c r="X194" s="21"/>
      <c r="Y194" s="21"/>
      <c r="Z194" s="21"/>
    </row>
    <row r="195" spans="1:26" ht="15.75" customHeight="1">
      <c r="A195" s="17"/>
      <c r="B195" s="18"/>
      <c r="C195" s="19"/>
      <c r="D195" s="2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21"/>
      <c r="X195" s="21"/>
      <c r="Y195" s="21"/>
      <c r="Z195" s="21"/>
    </row>
    <row r="196" spans="1:26" ht="15.75" customHeight="1">
      <c r="A196" s="17"/>
      <c r="B196" s="18"/>
      <c r="C196" s="19"/>
      <c r="D196" s="2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21"/>
      <c r="X196" s="21"/>
      <c r="Y196" s="21"/>
      <c r="Z196" s="21"/>
    </row>
    <row r="197" spans="1:26" ht="15.75" customHeight="1">
      <c r="A197" s="17"/>
      <c r="B197" s="18"/>
      <c r="C197" s="19"/>
      <c r="D197" s="20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1"/>
      <c r="X197" s="21"/>
      <c r="Y197" s="21"/>
      <c r="Z197" s="21"/>
    </row>
    <row r="198" spans="1:26" ht="15.75" customHeight="1">
      <c r="A198" s="17"/>
      <c r="B198" s="18"/>
      <c r="C198" s="19"/>
      <c r="D198" s="20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1"/>
      <c r="X198" s="21"/>
      <c r="Y198" s="21"/>
      <c r="Z198" s="21"/>
    </row>
    <row r="199" spans="1:26" ht="15.75" customHeight="1">
      <c r="A199" s="17"/>
      <c r="B199" s="18"/>
      <c r="C199" s="19"/>
      <c r="D199" s="20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1"/>
      <c r="X199" s="21"/>
      <c r="Y199" s="21"/>
      <c r="Z199" s="21"/>
    </row>
    <row r="200" spans="1:26" ht="15.75" customHeight="1">
      <c r="A200" s="17"/>
      <c r="B200" s="18"/>
      <c r="C200" s="19"/>
      <c r="D200" s="20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1"/>
      <c r="X200" s="21"/>
      <c r="Y200" s="21"/>
      <c r="Z200" s="21"/>
    </row>
    <row r="201" spans="1:26" ht="15.75" customHeight="1">
      <c r="A201" s="17"/>
      <c r="B201" s="18"/>
      <c r="C201" s="19"/>
      <c r="D201" s="20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1"/>
      <c r="X201" s="21"/>
      <c r="Y201" s="21"/>
      <c r="Z201" s="21"/>
    </row>
    <row r="202" spans="1:26" ht="15.75" customHeight="1">
      <c r="A202" s="17"/>
      <c r="B202" s="18"/>
      <c r="C202" s="19"/>
      <c r="D202" s="20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1"/>
      <c r="X202" s="21"/>
      <c r="Y202" s="21"/>
      <c r="Z202" s="21"/>
    </row>
    <row r="203" spans="1:26" ht="15.75" customHeight="1">
      <c r="A203" s="17"/>
      <c r="B203" s="18"/>
      <c r="C203" s="19"/>
      <c r="D203" s="20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1"/>
      <c r="X203" s="21"/>
      <c r="Y203" s="21"/>
      <c r="Z203" s="21"/>
    </row>
    <row r="204" spans="1:26" ht="15.75" customHeight="1">
      <c r="A204" s="17"/>
      <c r="B204" s="18"/>
      <c r="C204" s="19"/>
      <c r="D204" s="20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1"/>
      <c r="X204" s="21"/>
      <c r="Y204" s="21"/>
      <c r="Z204" s="21"/>
    </row>
    <row r="205" spans="1:26" ht="15.75" customHeight="1">
      <c r="A205" s="17"/>
      <c r="B205" s="18"/>
      <c r="C205" s="19"/>
      <c r="D205" s="20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1"/>
      <c r="X205" s="21"/>
      <c r="Y205" s="21"/>
      <c r="Z205" s="21"/>
    </row>
    <row r="206" spans="1:26" ht="15.75" customHeight="1">
      <c r="A206" s="17"/>
      <c r="B206" s="18"/>
      <c r="C206" s="19"/>
      <c r="D206" s="20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1"/>
      <c r="X206" s="21"/>
      <c r="Y206" s="21"/>
      <c r="Z206" s="21"/>
    </row>
    <row r="207" spans="1:26" ht="15.75" customHeight="1">
      <c r="A207" s="17"/>
      <c r="B207" s="18"/>
      <c r="C207" s="19"/>
      <c r="D207" s="20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1"/>
      <c r="X207" s="21"/>
      <c r="Y207" s="21"/>
      <c r="Z207" s="21"/>
    </row>
    <row r="208" spans="1:26" ht="15.75" customHeight="1">
      <c r="A208" s="17"/>
      <c r="B208" s="18"/>
      <c r="C208" s="19"/>
      <c r="D208" s="20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21"/>
      <c r="X208" s="21"/>
      <c r="Y208" s="21"/>
      <c r="Z208" s="21"/>
    </row>
    <row r="209" spans="1:26" ht="15.75" customHeight="1">
      <c r="A209" s="17"/>
      <c r="B209" s="18"/>
      <c r="C209" s="19"/>
      <c r="D209" s="20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21"/>
      <c r="X209" s="21"/>
      <c r="Y209" s="21"/>
      <c r="Z209" s="21"/>
    </row>
    <row r="210" spans="1:26" ht="15.75" customHeight="1">
      <c r="A210" s="17"/>
      <c r="B210" s="18"/>
      <c r="C210" s="19"/>
      <c r="D210" s="20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21"/>
      <c r="X210" s="21"/>
      <c r="Y210" s="21"/>
      <c r="Z210" s="21"/>
    </row>
    <row r="211" spans="1:26" ht="15.75" customHeight="1">
      <c r="A211" s="17"/>
      <c r="B211" s="18"/>
      <c r="C211" s="19"/>
      <c r="D211" s="2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21"/>
      <c r="X211" s="21"/>
      <c r="Y211" s="21"/>
      <c r="Z211" s="21"/>
    </row>
    <row r="212" spans="1:26" ht="15.75" customHeight="1">
      <c r="A212" s="17"/>
      <c r="B212" s="18"/>
      <c r="C212" s="19"/>
      <c r="D212" s="20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21"/>
      <c r="X212" s="21"/>
      <c r="Y212" s="21"/>
      <c r="Z212" s="21"/>
    </row>
    <row r="213" spans="1:26" ht="15.75" customHeight="1">
      <c r="A213" s="17"/>
      <c r="B213" s="18"/>
      <c r="C213" s="19"/>
      <c r="D213" s="20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21"/>
      <c r="X213" s="21"/>
      <c r="Y213" s="21"/>
      <c r="Z213" s="21"/>
    </row>
    <row r="214" spans="1:26" ht="15.75" customHeight="1">
      <c r="A214" s="17"/>
      <c r="B214" s="18"/>
      <c r="C214" s="19"/>
      <c r="D214" s="20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21"/>
      <c r="X214" s="21"/>
      <c r="Y214" s="21"/>
      <c r="Z214" s="21"/>
    </row>
    <row r="215" spans="1:26" ht="15.75" customHeight="1">
      <c r="A215" s="17"/>
      <c r="B215" s="18"/>
      <c r="C215" s="19"/>
      <c r="D215" s="20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21"/>
      <c r="X215" s="21"/>
      <c r="Y215" s="21"/>
      <c r="Z215" s="21"/>
    </row>
    <row r="216" spans="1:26" ht="15.75" customHeight="1">
      <c r="A216" s="17"/>
      <c r="B216" s="18"/>
      <c r="C216" s="19"/>
      <c r="D216" s="2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21"/>
      <c r="X216" s="21"/>
      <c r="Y216" s="21"/>
      <c r="Z216" s="21"/>
    </row>
    <row r="217" spans="1:26" ht="15.75" customHeight="1">
      <c r="A217" s="17"/>
      <c r="B217" s="18"/>
      <c r="C217" s="19"/>
      <c r="D217" s="2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21"/>
      <c r="X217" s="21"/>
      <c r="Y217" s="21"/>
      <c r="Z217" s="21"/>
    </row>
    <row r="218" spans="1:26" ht="15.75" customHeight="1">
      <c r="A218" s="17"/>
      <c r="B218" s="18"/>
      <c r="C218" s="19"/>
      <c r="D218" s="2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21"/>
      <c r="X218" s="21"/>
      <c r="Y218" s="21"/>
      <c r="Z218" s="21"/>
    </row>
    <row r="219" spans="1:26" ht="15.75" customHeight="1">
      <c r="A219" s="17"/>
      <c r="B219" s="18"/>
      <c r="C219" s="19"/>
      <c r="D219" s="2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21"/>
      <c r="X219" s="21"/>
      <c r="Y219" s="21"/>
      <c r="Z219" s="21"/>
    </row>
    <row r="220" spans="1:26" ht="15.75" customHeight="1">
      <c r="A220" s="17"/>
      <c r="B220" s="18"/>
      <c r="C220" s="19"/>
      <c r="D220" s="2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21"/>
      <c r="X220" s="21"/>
      <c r="Y220" s="21"/>
      <c r="Z220" s="21"/>
    </row>
    <row r="221" spans="1:26" ht="15.75" customHeight="1">
      <c r="A221" s="17"/>
      <c r="B221" s="18"/>
      <c r="C221" s="19"/>
      <c r="D221" s="2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21"/>
      <c r="X221" s="21"/>
      <c r="Y221" s="21"/>
      <c r="Z221" s="21"/>
    </row>
    <row r="222" spans="1:26" ht="15.75" customHeight="1">
      <c r="A222" s="17"/>
      <c r="B222" s="18"/>
      <c r="C222" s="19"/>
      <c r="D222" s="20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21"/>
      <c r="X222" s="21"/>
      <c r="Y222" s="21"/>
      <c r="Z222" s="21"/>
    </row>
    <row r="223" spans="1:26" ht="15.75" customHeight="1">
      <c r="A223" s="17"/>
      <c r="B223" s="18"/>
      <c r="C223" s="19"/>
      <c r="D223" s="20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21"/>
      <c r="X223" s="21"/>
      <c r="Y223" s="21"/>
      <c r="Z223" s="21"/>
    </row>
    <row r="224" spans="1:26" ht="15.75" customHeight="1">
      <c r="A224" s="17"/>
      <c r="B224" s="18"/>
      <c r="C224" s="19"/>
      <c r="D224" s="20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21"/>
      <c r="X224" s="21"/>
      <c r="Y224" s="21"/>
      <c r="Z224" s="21"/>
    </row>
    <row r="225" spans="1:26" ht="15.75" customHeight="1">
      <c r="A225" s="17"/>
      <c r="B225" s="18"/>
      <c r="C225" s="19"/>
      <c r="D225" s="20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21"/>
      <c r="X225" s="21"/>
      <c r="Y225" s="21"/>
      <c r="Z225" s="21"/>
    </row>
    <row r="226" spans="1:26" ht="15.75" customHeight="1">
      <c r="A226" s="17"/>
      <c r="B226" s="18"/>
      <c r="C226" s="19"/>
      <c r="D226" s="20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21"/>
      <c r="X226" s="21"/>
      <c r="Y226" s="21"/>
      <c r="Z226" s="21"/>
    </row>
    <row r="227" spans="1:26" ht="15.75" customHeight="1">
      <c r="A227" s="17"/>
      <c r="B227" s="18"/>
      <c r="C227" s="19"/>
      <c r="D227" s="20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21"/>
      <c r="X227" s="21"/>
      <c r="Y227" s="21"/>
      <c r="Z227" s="21"/>
    </row>
    <row r="228" spans="1:26" ht="15.75" customHeight="1">
      <c r="A228" s="17"/>
      <c r="B228" s="18"/>
      <c r="C228" s="19"/>
      <c r="D228" s="20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21"/>
      <c r="X228" s="21"/>
      <c r="Y228" s="21"/>
      <c r="Z228" s="21"/>
    </row>
    <row r="229" spans="1:26" ht="15.75" customHeight="1">
      <c r="A229" s="17"/>
      <c r="B229" s="18"/>
      <c r="C229" s="19"/>
      <c r="D229" s="20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21"/>
      <c r="X229" s="21"/>
      <c r="Y229" s="21"/>
      <c r="Z229" s="21"/>
    </row>
    <row r="230" spans="1:26" ht="15.75" customHeight="1">
      <c r="A230" s="17"/>
      <c r="B230" s="18"/>
      <c r="C230" s="19"/>
      <c r="D230" s="20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21"/>
      <c r="X230" s="21"/>
      <c r="Y230" s="21"/>
      <c r="Z230" s="21"/>
    </row>
    <row r="231" spans="1:26" ht="15.75" customHeight="1">
      <c r="A231" s="17"/>
      <c r="B231" s="18"/>
      <c r="C231" s="19"/>
      <c r="D231" s="20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21"/>
      <c r="X231" s="21"/>
      <c r="Y231" s="21"/>
      <c r="Z231" s="21"/>
    </row>
    <row r="232" spans="1:26" ht="15.75" customHeight="1">
      <c r="A232" s="17"/>
      <c r="B232" s="18"/>
      <c r="C232" s="19"/>
      <c r="D232" s="20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21"/>
      <c r="X232" s="21"/>
      <c r="Y232" s="21"/>
      <c r="Z232" s="21"/>
    </row>
    <row r="233" spans="1:26" ht="15.75" customHeight="1">
      <c r="A233" s="17"/>
      <c r="B233" s="18"/>
      <c r="C233" s="19"/>
      <c r="D233" s="20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21"/>
      <c r="X233" s="21"/>
      <c r="Y233" s="21"/>
      <c r="Z233" s="21"/>
    </row>
    <row r="234" spans="1:26" ht="15.75" customHeight="1">
      <c r="A234" s="17"/>
      <c r="B234" s="18"/>
      <c r="C234" s="19"/>
      <c r="D234" s="20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21"/>
      <c r="X234" s="21"/>
      <c r="Y234" s="21"/>
      <c r="Z234" s="21"/>
    </row>
    <row r="235" spans="1:26" ht="15.75" customHeight="1">
      <c r="A235" s="17"/>
      <c r="B235" s="18"/>
      <c r="C235" s="19"/>
      <c r="D235" s="20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21"/>
      <c r="X235" s="21"/>
      <c r="Y235" s="21"/>
      <c r="Z235" s="21"/>
    </row>
    <row r="236" spans="1:26" ht="15.75" customHeight="1">
      <c r="A236" s="17"/>
      <c r="B236" s="18"/>
      <c r="C236" s="19"/>
      <c r="D236" s="2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21"/>
      <c r="X236" s="21"/>
      <c r="Y236" s="21"/>
      <c r="Z236" s="21"/>
    </row>
    <row r="237" spans="1:26" ht="15.75" customHeight="1">
      <c r="A237" s="17"/>
      <c r="B237" s="18"/>
      <c r="C237" s="19"/>
      <c r="D237" s="20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21"/>
      <c r="X237" s="21"/>
      <c r="Y237" s="21"/>
      <c r="Z237" s="21"/>
    </row>
    <row r="238" spans="1:26" ht="15.75" customHeight="1">
      <c r="A238" s="17"/>
      <c r="B238" s="18"/>
      <c r="C238" s="19"/>
      <c r="D238" s="20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21"/>
      <c r="X238" s="21"/>
      <c r="Y238" s="21"/>
      <c r="Z238" s="21"/>
    </row>
    <row r="239" spans="1:26" ht="15.75" customHeight="1">
      <c r="A239" s="17"/>
      <c r="B239" s="18"/>
      <c r="C239" s="19"/>
      <c r="D239" s="20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21"/>
      <c r="X239" s="21"/>
      <c r="Y239" s="21"/>
      <c r="Z239" s="21"/>
    </row>
    <row r="240" spans="1:26" ht="15.75" customHeight="1">
      <c r="A240" s="17"/>
      <c r="B240" s="18"/>
      <c r="C240" s="19"/>
      <c r="D240" s="20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21"/>
      <c r="X240" s="21"/>
      <c r="Y240" s="21"/>
      <c r="Z240" s="21"/>
    </row>
    <row r="241" spans="1:26" ht="15.75" customHeight="1">
      <c r="A241" s="17"/>
      <c r="B241" s="18"/>
      <c r="C241" s="19"/>
      <c r="D241" s="20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21"/>
      <c r="X241" s="21"/>
      <c r="Y241" s="21"/>
      <c r="Z241" s="21"/>
    </row>
    <row r="242" spans="1:26" ht="15.75" customHeight="1">
      <c r="A242" s="17"/>
      <c r="B242" s="18"/>
      <c r="C242" s="19"/>
      <c r="D242" s="20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21"/>
      <c r="X242" s="21"/>
      <c r="Y242" s="21"/>
      <c r="Z242" s="21"/>
    </row>
    <row r="243" spans="1:26" ht="15.75" customHeight="1">
      <c r="A243" s="17"/>
      <c r="B243" s="18"/>
      <c r="C243" s="19"/>
      <c r="D243" s="20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21"/>
      <c r="X243" s="21"/>
      <c r="Y243" s="21"/>
      <c r="Z243" s="21"/>
    </row>
    <row r="244" spans="1:26" ht="15.75" customHeight="1">
      <c r="A244" s="17"/>
      <c r="B244" s="18"/>
      <c r="C244" s="19"/>
      <c r="D244" s="20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21"/>
      <c r="X244" s="21"/>
      <c r="Y244" s="21"/>
      <c r="Z244" s="21"/>
    </row>
    <row r="245" spans="1:26" ht="15.75" customHeight="1">
      <c r="A245" s="17"/>
      <c r="B245" s="18"/>
      <c r="C245" s="19"/>
      <c r="D245" s="20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21"/>
      <c r="X245" s="21"/>
      <c r="Y245" s="21"/>
      <c r="Z245" s="21"/>
    </row>
    <row r="246" spans="1:26" ht="15.75" customHeight="1">
      <c r="A246" s="17"/>
      <c r="B246" s="18"/>
      <c r="C246" s="19"/>
      <c r="D246" s="20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21"/>
      <c r="X246" s="21"/>
      <c r="Y246" s="21"/>
      <c r="Z246" s="21"/>
    </row>
    <row r="247" spans="1:26" ht="15.75" customHeight="1">
      <c r="A247" s="17"/>
      <c r="B247" s="18"/>
      <c r="C247" s="19"/>
      <c r="D247" s="20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21"/>
      <c r="X247" s="21"/>
      <c r="Y247" s="21"/>
      <c r="Z247" s="21"/>
    </row>
    <row r="248" spans="1:26" ht="15.75" customHeight="1">
      <c r="A248" s="17"/>
      <c r="B248" s="18"/>
      <c r="C248" s="19"/>
      <c r="D248" s="20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21"/>
      <c r="X248" s="21"/>
      <c r="Y248" s="21"/>
      <c r="Z248" s="21"/>
    </row>
    <row r="249" spans="1:26" ht="15.75" customHeight="1">
      <c r="A249" s="17"/>
      <c r="B249" s="18"/>
      <c r="C249" s="19"/>
      <c r="D249" s="20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21"/>
      <c r="X249" s="21"/>
      <c r="Y249" s="21"/>
      <c r="Z249" s="21"/>
    </row>
    <row r="250" spans="1:26" ht="15.75" customHeight="1">
      <c r="A250" s="17"/>
      <c r="B250" s="18"/>
      <c r="C250" s="19"/>
      <c r="D250" s="20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21"/>
      <c r="X250" s="21"/>
      <c r="Y250" s="21"/>
      <c r="Z250" s="21"/>
    </row>
    <row r="251" spans="1:26" ht="15.75" customHeight="1">
      <c r="A251" s="17"/>
      <c r="B251" s="18"/>
      <c r="C251" s="19"/>
      <c r="D251" s="20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21"/>
      <c r="X251" s="21"/>
      <c r="Y251" s="21"/>
      <c r="Z251" s="21"/>
    </row>
    <row r="252" spans="1:26" ht="15.75" customHeight="1">
      <c r="A252" s="17"/>
      <c r="B252" s="18"/>
      <c r="C252" s="19"/>
      <c r="D252" s="20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21"/>
      <c r="X252" s="21"/>
      <c r="Y252" s="21"/>
      <c r="Z252" s="21"/>
    </row>
    <row r="253" spans="1:26" ht="15.75" customHeight="1">
      <c r="A253" s="17"/>
      <c r="B253" s="18"/>
      <c r="C253" s="19"/>
      <c r="D253" s="20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21"/>
      <c r="X253" s="21"/>
      <c r="Y253" s="21"/>
      <c r="Z253" s="21"/>
    </row>
    <row r="254" spans="1:26" ht="15.75" customHeight="1">
      <c r="A254" s="17"/>
      <c r="B254" s="18"/>
      <c r="C254" s="19"/>
      <c r="D254" s="20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21"/>
      <c r="X254" s="21"/>
      <c r="Y254" s="21"/>
      <c r="Z254" s="21"/>
    </row>
    <row r="255" spans="1:26" ht="15.75" customHeight="1">
      <c r="A255" s="17"/>
      <c r="B255" s="18"/>
      <c r="C255" s="19"/>
      <c r="D255" s="20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21"/>
      <c r="X255" s="21"/>
      <c r="Y255" s="21"/>
      <c r="Z255" s="21"/>
    </row>
    <row r="256" spans="1:26" ht="15.75" customHeight="1">
      <c r="A256" s="17"/>
      <c r="B256" s="18"/>
      <c r="C256" s="19"/>
      <c r="D256" s="20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21"/>
      <c r="X256" s="21"/>
      <c r="Y256" s="21"/>
      <c r="Z256" s="21"/>
    </row>
    <row r="257" spans="1:26" ht="15.75" customHeight="1">
      <c r="A257" s="17"/>
      <c r="B257" s="18"/>
      <c r="C257" s="19"/>
      <c r="D257" s="20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21"/>
      <c r="X257" s="21"/>
      <c r="Y257" s="21"/>
      <c r="Z257" s="21"/>
    </row>
    <row r="258" spans="1:26" ht="15.75" customHeight="1">
      <c r="A258" s="17"/>
      <c r="B258" s="18"/>
      <c r="C258" s="19"/>
      <c r="D258" s="20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21"/>
      <c r="X258" s="21"/>
      <c r="Y258" s="21"/>
      <c r="Z258" s="21"/>
    </row>
    <row r="259" spans="1:26" ht="15.75" customHeight="1">
      <c r="A259" s="17"/>
      <c r="B259" s="18"/>
      <c r="C259" s="19"/>
      <c r="D259" s="20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21"/>
      <c r="X259" s="21"/>
      <c r="Y259" s="21"/>
      <c r="Z259" s="21"/>
    </row>
    <row r="260" spans="1:26" ht="15.75" customHeight="1">
      <c r="A260" s="17"/>
      <c r="B260" s="18"/>
      <c r="C260" s="19"/>
      <c r="D260" s="20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21"/>
      <c r="X260" s="21"/>
      <c r="Y260" s="21"/>
      <c r="Z260" s="21"/>
    </row>
    <row r="261" spans="1:26" ht="15.75" customHeight="1">
      <c r="A261" s="17"/>
      <c r="B261" s="18"/>
      <c r="C261" s="19"/>
      <c r="D261" s="20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21"/>
      <c r="X261" s="21"/>
      <c r="Y261" s="21"/>
      <c r="Z261" s="21"/>
    </row>
    <row r="262" spans="1:26" ht="15.75" customHeight="1">
      <c r="A262" s="17"/>
      <c r="B262" s="18"/>
      <c r="C262" s="19"/>
      <c r="D262" s="20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21"/>
      <c r="X262" s="21"/>
      <c r="Y262" s="21"/>
      <c r="Z262" s="21"/>
    </row>
    <row r="263" spans="1:26" ht="15.75" customHeight="1">
      <c r="A263" s="17"/>
      <c r="B263" s="18"/>
      <c r="C263" s="19"/>
      <c r="D263" s="20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21"/>
      <c r="X263" s="21"/>
      <c r="Y263" s="21"/>
      <c r="Z263" s="21"/>
    </row>
    <row r="264" spans="1:26" ht="15.75" customHeight="1">
      <c r="A264" s="17"/>
      <c r="B264" s="18"/>
      <c r="C264" s="19"/>
      <c r="D264" s="20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21"/>
      <c r="X264" s="21"/>
      <c r="Y264" s="21"/>
      <c r="Z264" s="21"/>
    </row>
    <row r="265" spans="1:26" ht="15.75" customHeight="1">
      <c r="A265" s="17"/>
      <c r="B265" s="18"/>
      <c r="C265" s="19"/>
      <c r="D265" s="20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21"/>
      <c r="X265" s="21"/>
      <c r="Y265" s="21"/>
      <c r="Z265" s="21"/>
    </row>
    <row r="266" spans="1:26" ht="15.75" customHeight="1">
      <c r="A266" s="17"/>
      <c r="B266" s="18"/>
      <c r="C266" s="19"/>
      <c r="D266" s="20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21"/>
      <c r="X266" s="21"/>
      <c r="Y266" s="21"/>
      <c r="Z266" s="21"/>
    </row>
    <row r="267" spans="1:26" ht="15.75" customHeight="1">
      <c r="A267" s="17"/>
      <c r="B267" s="18"/>
      <c r="C267" s="19"/>
      <c r="D267" s="20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21"/>
      <c r="X267" s="21"/>
      <c r="Y267" s="21"/>
      <c r="Z267" s="21"/>
    </row>
    <row r="268" spans="1:26" ht="15.75" customHeight="1">
      <c r="A268" s="17"/>
      <c r="B268" s="18"/>
      <c r="C268" s="19"/>
      <c r="D268" s="20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21"/>
      <c r="X268" s="21"/>
      <c r="Y268" s="21"/>
      <c r="Z268" s="21"/>
    </row>
    <row r="269" spans="1:26" ht="15.75" customHeight="1">
      <c r="A269" s="17"/>
      <c r="B269" s="18"/>
      <c r="C269" s="19"/>
      <c r="D269" s="20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21"/>
      <c r="X269" s="21"/>
      <c r="Y269" s="21"/>
      <c r="Z269" s="21"/>
    </row>
    <row r="270" spans="1:26" ht="15.75" customHeight="1">
      <c r="A270" s="17"/>
      <c r="B270" s="18"/>
      <c r="C270" s="19"/>
      <c r="D270" s="20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21"/>
      <c r="X270" s="21"/>
      <c r="Y270" s="21"/>
      <c r="Z270" s="21"/>
    </row>
    <row r="271" spans="1:26" ht="15.75" customHeight="1">
      <c r="A271" s="17"/>
      <c r="B271" s="18"/>
      <c r="C271" s="19"/>
      <c r="D271" s="20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21"/>
      <c r="X271" s="21"/>
      <c r="Y271" s="21"/>
      <c r="Z271" s="21"/>
    </row>
    <row r="272" spans="1:26" ht="15.75" customHeight="1">
      <c r="A272" s="17"/>
      <c r="B272" s="18"/>
      <c r="C272" s="19"/>
      <c r="D272" s="20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21"/>
      <c r="X272" s="21"/>
      <c r="Y272" s="21"/>
      <c r="Z272" s="21"/>
    </row>
    <row r="273" spans="1:26" ht="15.75" customHeight="1">
      <c r="A273" s="17"/>
      <c r="B273" s="18"/>
      <c r="C273" s="19"/>
      <c r="D273" s="20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21"/>
      <c r="X273" s="21"/>
      <c r="Y273" s="21"/>
      <c r="Z273" s="21"/>
    </row>
    <row r="274" spans="1:26" ht="15.75" customHeight="1">
      <c r="A274" s="17"/>
      <c r="B274" s="18"/>
      <c r="C274" s="19"/>
      <c r="D274" s="20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21"/>
      <c r="X274" s="21"/>
      <c r="Y274" s="21"/>
      <c r="Z274" s="21"/>
    </row>
    <row r="275" spans="1:26" ht="15.75" customHeight="1">
      <c r="A275" s="17"/>
      <c r="B275" s="18"/>
      <c r="C275" s="19"/>
      <c r="D275" s="20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21"/>
      <c r="X275" s="21"/>
      <c r="Y275" s="21"/>
      <c r="Z275" s="21"/>
    </row>
    <row r="276" spans="1:26" ht="15.75" customHeight="1">
      <c r="A276" s="17"/>
      <c r="B276" s="18"/>
      <c r="C276" s="19"/>
      <c r="D276" s="20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21"/>
      <c r="X276" s="21"/>
      <c r="Y276" s="21"/>
      <c r="Z276" s="21"/>
    </row>
    <row r="277" spans="1:26" ht="15.75" customHeight="1">
      <c r="A277" s="17"/>
      <c r="B277" s="18"/>
      <c r="C277" s="19"/>
      <c r="D277" s="20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21"/>
      <c r="X277" s="21"/>
      <c r="Y277" s="21"/>
      <c r="Z277" s="21"/>
    </row>
    <row r="278" spans="1:26" ht="15.75" customHeight="1">
      <c r="A278" s="17"/>
      <c r="B278" s="18"/>
      <c r="C278" s="19"/>
      <c r="D278" s="20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21"/>
      <c r="X278" s="21"/>
      <c r="Y278" s="21"/>
      <c r="Z278" s="21"/>
    </row>
    <row r="279" spans="1:26" ht="15.75" customHeight="1">
      <c r="A279" s="17"/>
      <c r="B279" s="18"/>
      <c r="C279" s="19"/>
      <c r="D279" s="20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21"/>
      <c r="X279" s="21"/>
      <c r="Y279" s="21"/>
      <c r="Z279" s="21"/>
    </row>
    <row r="280" spans="1:26" ht="15.75" customHeight="1">
      <c r="A280" s="17"/>
      <c r="B280" s="18"/>
      <c r="C280" s="19"/>
      <c r="D280" s="20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21"/>
      <c r="X280" s="21"/>
      <c r="Y280" s="21"/>
      <c r="Z280" s="21"/>
    </row>
    <row r="281" spans="1:26" ht="15.75" customHeight="1">
      <c r="A281" s="17"/>
      <c r="B281" s="18"/>
      <c r="C281" s="19"/>
      <c r="D281" s="20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21"/>
      <c r="X281" s="21"/>
      <c r="Y281" s="21"/>
      <c r="Z281" s="21"/>
    </row>
    <row r="282" spans="1:26" ht="15.75" customHeight="1">
      <c r="A282" s="17"/>
      <c r="B282" s="18"/>
      <c r="C282" s="19"/>
      <c r="D282" s="20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21"/>
      <c r="X282" s="21"/>
      <c r="Y282" s="21"/>
      <c r="Z282" s="21"/>
    </row>
    <row r="283" spans="1:26" ht="15.75" customHeight="1">
      <c r="A283" s="17"/>
      <c r="B283" s="18"/>
      <c r="C283" s="19"/>
      <c r="D283" s="20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21"/>
      <c r="X283" s="21"/>
      <c r="Y283" s="21"/>
      <c r="Z283" s="21"/>
    </row>
    <row r="284" spans="1:26" ht="15.75" customHeight="1">
      <c r="A284" s="17"/>
      <c r="B284" s="18"/>
      <c r="C284" s="19"/>
      <c r="D284" s="20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21"/>
      <c r="X284" s="21"/>
      <c r="Y284" s="21"/>
      <c r="Z284" s="21"/>
    </row>
    <row r="285" spans="1:26" ht="15.75" customHeight="1">
      <c r="A285" s="17"/>
      <c r="B285" s="18"/>
      <c r="C285" s="19"/>
      <c r="D285" s="20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21"/>
      <c r="X285" s="21"/>
      <c r="Y285" s="21"/>
      <c r="Z285" s="21"/>
    </row>
    <row r="286" spans="1:26" ht="15.75" customHeight="1">
      <c r="A286" s="17"/>
      <c r="B286" s="18"/>
      <c r="C286" s="19"/>
      <c r="D286" s="20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21"/>
      <c r="X286" s="21"/>
      <c r="Y286" s="21"/>
      <c r="Z286" s="21"/>
    </row>
    <row r="287" spans="1:26" ht="15.75" customHeight="1">
      <c r="A287" s="17"/>
      <c r="B287" s="18"/>
      <c r="C287" s="19"/>
      <c r="D287" s="20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21"/>
      <c r="X287" s="21"/>
      <c r="Y287" s="21"/>
      <c r="Z287" s="21"/>
    </row>
    <row r="288" spans="1:26" ht="15.75" customHeight="1">
      <c r="A288" s="17"/>
      <c r="B288" s="18"/>
      <c r="C288" s="19"/>
      <c r="D288" s="20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21"/>
      <c r="X288" s="21"/>
      <c r="Y288" s="21"/>
      <c r="Z288" s="21"/>
    </row>
    <row r="289" spans="1:26" ht="15.75" customHeight="1">
      <c r="A289" s="17"/>
      <c r="B289" s="18"/>
      <c r="C289" s="19"/>
      <c r="D289" s="20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21"/>
      <c r="X289" s="21"/>
      <c r="Y289" s="21"/>
      <c r="Z289" s="21"/>
    </row>
    <row r="290" spans="1:26" ht="15.75" customHeight="1">
      <c r="A290" s="17"/>
      <c r="B290" s="18"/>
      <c r="C290" s="19"/>
      <c r="D290" s="20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21"/>
      <c r="X290" s="21"/>
      <c r="Y290" s="21"/>
      <c r="Z290" s="21"/>
    </row>
    <row r="291" spans="1:26" ht="15.75" customHeight="1">
      <c r="A291" s="17"/>
      <c r="B291" s="18"/>
      <c r="C291" s="19"/>
      <c r="D291" s="20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21"/>
      <c r="X291" s="21"/>
      <c r="Y291" s="21"/>
      <c r="Z291" s="21"/>
    </row>
    <row r="292" spans="1:26" ht="15.75" customHeight="1">
      <c r="A292" s="17"/>
      <c r="B292" s="18"/>
      <c r="C292" s="19"/>
      <c r="D292" s="20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21"/>
      <c r="X292" s="21"/>
      <c r="Y292" s="21"/>
      <c r="Z292" s="21"/>
    </row>
    <row r="293" spans="1:26" ht="15.75" customHeight="1">
      <c r="A293" s="17"/>
      <c r="B293" s="18"/>
      <c r="C293" s="19"/>
      <c r="D293" s="20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21"/>
      <c r="X293" s="21"/>
      <c r="Y293" s="21"/>
      <c r="Z293" s="21"/>
    </row>
    <row r="294" spans="1:26" ht="15.75" customHeight="1">
      <c r="A294" s="17"/>
      <c r="B294" s="18"/>
      <c r="C294" s="19"/>
      <c r="D294" s="20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21"/>
      <c r="X294" s="21"/>
      <c r="Y294" s="21"/>
      <c r="Z294" s="21"/>
    </row>
    <row r="295" spans="1:26" ht="15.75" customHeight="1">
      <c r="A295" s="17"/>
      <c r="B295" s="18"/>
      <c r="C295" s="19"/>
      <c r="D295" s="20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21"/>
      <c r="X295" s="21"/>
      <c r="Y295" s="21"/>
      <c r="Z295" s="21"/>
    </row>
    <row r="296" spans="1:26" ht="15.75" customHeight="1">
      <c r="A296" s="17"/>
      <c r="B296" s="18"/>
      <c r="C296" s="19"/>
      <c r="D296" s="20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21"/>
      <c r="X296" s="21"/>
      <c r="Y296" s="21"/>
      <c r="Z296" s="21"/>
    </row>
    <row r="297" spans="1:26" ht="15.75" customHeight="1">
      <c r="A297" s="17"/>
      <c r="B297" s="18"/>
      <c r="C297" s="19"/>
      <c r="D297" s="20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21"/>
      <c r="X297" s="21"/>
      <c r="Y297" s="21"/>
      <c r="Z297" s="21"/>
    </row>
    <row r="298" spans="1:26" ht="15.75" customHeight="1">
      <c r="A298" s="17"/>
      <c r="B298" s="18"/>
      <c r="C298" s="19"/>
      <c r="D298" s="20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21"/>
      <c r="X298" s="21"/>
      <c r="Y298" s="21"/>
      <c r="Z298" s="21"/>
    </row>
    <row r="299" spans="1:26" ht="15.75" customHeight="1">
      <c r="A299" s="17"/>
      <c r="B299" s="18"/>
      <c r="C299" s="19"/>
      <c r="D299" s="20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21"/>
      <c r="X299" s="21"/>
      <c r="Y299" s="21"/>
      <c r="Z299" s="21"/>
    </row>
    <row r="300" spans="1:26" ht="15.75" customHeight="1">
      <c r="A300" s="17"/>
      <c r="B300" s="18"/>
      <c r="C300" s="19"/>
      <c r="D300" s="20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21"/>
      <c r="X300" s="21"/>
      <c r="Y300" s="21"/>
      <c r="Z300" s="21"/>
    </row>
    <row r="301" spans="1:26" ht="15.75" customHeight="1">
      <c r="A301" s="17"/>
      <c r="B301" s="18"/>
      <c r="C301" s="19"/>
      <c r="D301" s="20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21"/>
      <c r="X301" s="21"/>
      <c r="Y301" s="21"/>
      <c r="Z301" s="21"/>
    </row>
    <row r="302" spans="1:26" ht="15.75" customHeight="1">
      <c r="A302" s="17"/>
      <c r="B302" s="18"/>
      <c r="C302" s="19"/>
      <c r="D302" s="20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21"/>
      <c r="X302" s="21"/>
      <c r="Y302" s="21"/>
      <c r="Z302" s="21"/>
    </row>
    <row r="303" spans="1:26" ht="15.75" customHeight="1">
      <c r="A303" s="17"/>
      <c r="B303" s="18"/>
      <c r="C303" s="19"/>
      <c r="D303" s="20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21"/>
      <c r="X303" s="21"/>
      <c r="Y303" s="21"/>
      <c r="Z303" s="21"/>
    </row>
    <row r="304" spans="1:26" ht="15.75" customHeight="1">
      <c r="A304" s="17"/>
      <c r="B304" s="18"/>
      <c r="C304" s="19"/>
      <c r="D304" s="20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21"/>
      <c r="X304" s="21"/>
      <c r="Y304" s="21"/>
      <c r="Z304" s="21"/>
    </row>
    <row r="305" spans="1:26" ht="15.75" customHeight="1">
      <c r="A305" s="17"/>
      <c r="B305" s="18"/>
      <c r="C305" s="19"/>
      <c r="D305" s="20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21"/>
      <c r="X305" s="21"/>
      <c r="Y305" s="21"/>
      <c r="Z305" s="21"/>
    </row>
    <row r="306" spans="1:26" ht="15.75" customHeight="1">
      <c r="A306" s="17"/>
      <c r="B306" s="18"/>
      <c r="C306" s="19"/>
      <c r="D306" s="20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21"/>
      <c r="X306" s="21"/>
      <c r="Y306" s="21"/>
      <c r="Z306" s="21"/>
    </row>
    <row r="307" spans="1:26" ht="15.75" customHeight="1">
      <c r="A307" s="17"/>
      <c r="B307" s="18"/>
      <c r="C307" s="19"/>
      <c r="D307" s="20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21"/>
      <c r="X307" s="21"/>
      <c r="Y307" s="21"/>
      <c r="Z307" s="21"/>
    </row>
    <row r="308" spans="1:26" ht="15.75" customHeight="1">
      <c r="A308" s="17"/>
      <c r="B308" s="18"/>
      <c r="C308" s="19"/>
      <c r="D308" s="20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21"/>
      <c r="X308" s="21"/>
      <c r="Y308" s="21"/>
      <c r="Z308" s="21"/>
    </row>
    <row r="309" spans="1:26" ht="15.75" customHeight="1">
      <c r="A309" s="17"/>
      <c r="B309" s="18"/>
      <c r="C309" s="19"/>
      <c r="D309" s="20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21"/>
      <c r="X309" s="21"/>
      <c r="Y309" s="21"/>
      <c r="Z309" s="21"/>
    </row>
    <row r="310" spans="1:26" ht="15.75" customHeight="1">
      <c r="A310" s="17"/>
      <c r="B310" s="18"/>
      <c r="C310" s="19"/>
      <c r="D310" s="20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21"/>
      <c r="X310" s="21"/>
      <c r="Y310" s="21"/>
      <c r="Z310" s="21"/>
    </row>
    <row r="311" spans="1:26" ht="15.75" customHeight="1">
      <c r="A311" s="17"/>
      <c r="B311" s="18"/>
      <c r="C311" s="19"/>
      <c r="D311" s="20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21"/>
      <c r="X311" s="21"/>
      <c r="Y311" s="21"/>
      <c r="Z311" s="21"/>
    </row>
    <row r="312" spans="1:26" ht="15.75" customHeight="1">
      <c r="A312" s="17"/>
      <c r="B312" s="18"/>
      <c r="C312" s="19"/>
      <c r="D312" s="20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21"/>
      <c r="X312" s="21"/>
      <c r="Y312" s="21"/>
      <c r="Z312" s="21"/>
    </row>
    <row r="313" spans="1:26" ht="15.75" customHeight="1">
      <c r="A313" s="17"/>
      <c r="B313" s="18"/>
      <c r="C313" s="19"/>
      <c r="D313" s="20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21"/>
      <c r="X313" s="21"/>
      <c r="Y313" s="21"/>
      <c r="Z313" s="21"/>
    </row>
    <row r="314" spans="1:26" ht="15.75" customHeight="1">
      <c r="A314" s="17"/>
      <c r="B314" s="18"/>
      <c r="C314" s="19"/>
      <c r="D314" s="20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21"/>
      <c r="X314" s="21"/>
      <c r="Y314" s="21"/>
      <c r="Z314" s="21"/>
    </row>
    <row r="315" spans="1:26" ht="15.75" customHeight="1">
      <c r="A315" s="17"/>
      <c r="B315" s="18"/>
      <c r="C315" s="19"/>
      <c r="D315" s="20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21"/>
      <c r="X315" s="21"/>
      <c r="Y315" s="21"/>
      <c r="Z315" s="21"/>
    </row>
    <row r="316" spans="1:26" ht="15.75" customHeight="1">
      <c r="A316" s="17"/>
      <c r="B316" s="18"/>
      <c r="C316" s="19"/>
      <c r="D316" s="20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21"/>
      <c r="X316" s="21"/>
      <c r="Y316" s="21"/>
      <c r="Z316" s="21"/>
    </row>
    <row r="317" spans="1:26" ht="15.75" customHeight="1">
      <c r="A317" s="17"/>
      <c r="B317" s="18"/>
      <c r="C317" s="19"/>
      <c r="D317" s="20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21"/>
      <c r="X317" s="21"/>
      <c r="Y317" s="21"/>
      <c r="Z317" s="21"/>
    </row>
    <row r="318" spans="1:26" ht="15.75" customHeight="1">
      <c r="A318" s="17"/>
      <c r="B318" s="18"/>
      <c r="C318" s="19"/>
      <c r="D318" s="20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21"/>
      <c r="X318" s="21"/>
      <c r="Y318" s="21"/>
      <c r="Z318" s="21"/>
    </row>
    <row r="319" spans="1:26" ht="15.75" customHeight="1">
      <c r="A319" s="17"/>
      <c r="B319" s="18"/>
      <c r="C319" s="19"/>
      <c r="D319" s="20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21"/>
      <c r="X319" s="21"/>
      <c r="Y319" s="21"/>
      <c r="Z319" s="21"/>
    </row>
    <row r="320" spans="1:26" ht="15.75" customHeight="1">
      <c r="A320" s="17"/>
      <c r="B320" s="18"/>
      <c r="C320" s="19"/>
      <c r="D320" s="20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21"/>
      <c r="X320" s="21"/>
      <c r="Y320" s="21"/>
      <c r="Z320" s="21"/>
    </row>
    <row r="321" spans="1:26" ht="15.75" customHeight="1">
      <c r="A321" s="17"/>
      <c r="B321" s="18"/>
      <c r="C321" s="19"/>
      <c r="D321" s="2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21"/>
      <c r="X321" s="21"/>
      <c r="Y321" s="21"/>
      <c r="Z321" s="21"/>
    </row>
    <row r="322" spans="1:26" ht="15.75" customHeight="1">
      <c r="A322" s="17"/>
      <c r="B322" s="18"/>
      <c r="C322" s="19"/>
      <c r="D322" s="20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21"/>
      <c r="X322" s="21"/>
      <c r="Y322" s="21"/>
      <c r="Z322" s="21"/>
    </row>
    <row r="323" spans="1:26" ht="15.75" customHeight="1">
      <c r="A323" s="17"/>
      <c r="B323" s="18"/>
      <c r="C323" s="19"/>
      <c r="D323" s="20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21"/>
      <c r="X323" s="21"/>
      <c r="Y323" s="21"/>
      <c r="Z323" s="21"/>
    </row>
    <row r="324" spans="1:26" ht="15.75" customHeight="1">
      <c r="A324" s="17"/>
      <c r="B324" s="18"/>
      <c r="C324" s="19"/>
      <c r="D324" s="20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21"/>
      <c r="X324" s="21"/>
      <c r="Y324" s="21"/>
      <c r="Z324" s="21"/>
    </row>
    <row r="325" spans="1:26" ht="15.75" customHeight="1">
      <c r="A325" s="17"/>
      <c r="B325" s="18"/>
      <c r="C325" s="19"/>
      <c r="D325" s="20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21"/>
      <c r="X325" s="21"/>
      <c r="Y325" s="21"/>
      <c r="Z325" s="21"/>
    </row>
    <row r="326" spans="1:26" ht="15.75" customHeight="1">
      <c r="A326" s="17"/>
      <c r="B326" s="18"/>
      <c r="C326" s="19"/>
      <c r="D326" s="20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21"/>
      <c r="X326" s="21"/>
      <c r="Y326" s="21"/>
      <c r="Z326" s="21"/>
    </row>
    <row r="327" spans="1:26" ht="15.75" customHeight="1">
      <c r="A327" s="17"/>
      <c r="B327" s="18"/>
      <c r="C327" s="19"/>
      <c r="D327" s="20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21"/>
      <c r="X327" s="21"/>
      <c r="Y327" s="21"/>
      <c r="Z327" s="21"/>
    </row>
    <row r="328" spans="1:26" ht="15.75" customHeight="1">
      <c r="A328" s="17"/>
      <c r="B328" s="18"/>
      <c r="C328" s="19"/>
      <c r="D328" s="20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21"/>
      <c r="X328" s="21"/>
      <c r="Y328" s="21"/>
      <c r="Z328" s="21"/>
    </row>
    <row r="329" spans="1:26" ht="15.75" customHeight="1">
      <c r="A329" s="17"/>
      <c r="B329" s="18"/>
      <c r="C329" s="19"/>
      <c r="D329" s="20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21"/>
      <c r="X329" s="21"/>
      <c r="Y329" s="21"/>
      <c r="Z329" s="21"/>
    </row>
    <row r="330" spans="1:26" ht="15.75" customHeight="1">
      <c r="A330" s="17"/>
      <c r="B330" s="18"/>
      <c r="C330" s="19"/>
      <c r="D330" s="20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21"/>
      <c r="X330" s="21"/>
      <c r="Y330" s="21"/>
      <c r="Z330" s="21"/>
    </row>
    <row r="331" spans="1:26" ht="15.75" customHeight="1">
      <c r="A331" s="17"/>
      <c r="B331" s="18"/>
      <c r="C331" s="19"/>
      <c r="D331" s="20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21"/>
      <c r="X331" s="21"/>
      <c r="Y331" s="21"/>
      <c r="Z331" s="21"/>
    </row>
    <row r="332" spans="1:26" ht="15.75" customHeight="1">
      <c r="A332" s="17"/>
      <c r="B332" s="18"/>
      <c r="C332" s="19"/>
      <c r="D332" s="20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21"/>
      <c r="X332" s="21"/>
      <c r="Y332" s="21"/>
      <c r="Z332" s="21"/>
    </row>
    <row r="333" spans="1:26" ht="15.75" customHeight="1">
      <c r="A333" s="17"/>
      <c r="B333" s="18"/>
      <c r="C333" s="19"/>
      <c r="D333" s="20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21"/>
      <c r="X333" s="21"/>
      <c r="Y333" s="21"/>
      <c r="Z333" s="21"/>
    </row>
    <row r="334" spans="1:26" ht="15.75" customHeight="1">
      <c r="A334" s="17"/>
      <c r="B334" s="18"/>
      <c r="C334" s="19"/>
      <c r="D334" s="20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21"/>
      <c r="X334" s="21"/>
      <c r="Y334" s="21"/>
      <c r="Z334" s="21"/>
    </row>
    <row r="335" spans="1:26" ht="15.75" customHeight="1">
      <c r="A335" s="17"/>
      <c r="B335" s="18"/>
      <c r="C335" s="19"/>
      <c r="D335" s="20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21"/>
      <c r="X335" s="21"/>
      <c r="Y335" s="21"/>
      <c r="Z335" s="21"/>
    </row>
    <row r="336" spans="1:26" ht="15.75" customHeight="1">
      <c r="A336" s="17"/>
      <c r="B336" s="18"/>
      <c r="C336" s="19"/>
      <c r="D336" s="20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21"/>
      <c r="X336" s="21"/>
      <c r="Y336" s="21"/>
      <c r="Z336" s="21"/>
    </row>
    <row r="337" spans="1:26" ht="15.75" customHeight="1">
      <c r="A337" s="17"/>
      <c r="B337" s="18"/>
      <c r="C337" s="19"/>
      <c r="D337" s="20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21"/>
      <c r="X337" s="21"/>
      <c r="Y337" s="21"/>
      <c r="Z337" s="21"/>
    </row>
    <row r="338" spans="1:26" ht="15.75" customHeight="1">
      <c r="A338" s="17"/>
      <c r="B338" s="18"/>
      <c r="C338" s="19"/>
      <c r="D338" s="20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21"/>
      <c r="X338" s="21"/>
      <c r="Y338" s="21"/>
      <c r="Z338" s="21"/>
    </row>
    <row r="339" spans="1:26" ht="15.75" customHeight="1">
      <c r="A339" s="17"/>
      <c r="B339" s="18"/>
      <c r="C339" s="19"/>
      <c r="D339" s="20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21"/>
      <c r="X339" s="21"/>
      <c r="Y339" s="21"/>
      <c r="Z339" s="21"/>
    </row>
    <row r="340" spans="1:26" ht="15.75" customHeight="1">
      <c r="A340" s="17"/>
      <c r="B340" s="18"/>
      <c r="C340" s="19"/>
      <c r="D340" s="20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21"/>
      <c r="X340" s="21"/>
      <c r="Y340" s="21"/>
      <c r="Z340" s="21"/>
    </row>
    <row r="341" spans="1:26" ht="15.75" customHeight="1">
      <c r="A341" s="17"/>
      <c r="B341" s="18"/>
      <c r="C341" s="19"/>
      <c r="D341" s="20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21"/>
      <c r="X341" s="21"/>
      <c r="Y341" s="21"/>
      <c r="Z341" s="21"/>
    </row>
    <row r="342" spans="1:26" ht="15.75" customHeight="1">
      <c r="A342" s="17"/>
      <c r="B342" s="18"/>
      <c r="C342" s="19"/>
      <c r="D342" s="20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21"/>
      <c r="X342" s="21"/>
      <c r="Y342" s="21"/>
      <c r="Z342" s="21"/>
    </row>
    <row r="343" spans="1:26" ht="15.75" customHeight="1">
      <c r="A343" s="17"/>
      <c r="B343" s="18"/>
      <c r="C343" s="19"/>
      <c r="D343" s="20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21"/>
      <c r="X343" s="21"/>
      <c r="Y343" s="21"/>
      <c r="Z343" s="21"/>
    </row>
    <row r="344" spans="1:26" ht="15.75" customHeight="1">
      <c r="A344" s="17"/>
      <c r="B344" s="18"/>
      <c r="C344" s="19"/>
      <c r="D344" s="20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21"/>
      <c r="X344" s="21"/>
      <c r="Y344" s="21"/>
      <c r="Z344" s="21"/>
    </row>
    <row r="345" spans="1:26" ht="15.75" customHeight="1">
      <c r="A345" s="17"/>
      <c r="B345" s="18"/>
      <c r="C345" s="19"/>
      <c r="D345" s="20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21"/>
      <c r="X345" s="21"/>
      <c r="Y345" s="21"/>
      <c r="Z345" s="21"/>
    </row>
    <row r="346" spans="1:26" ht="15.75" customHeight="1">
      <c r="A346" s="17"/>
      <c r="B346" s="18"/>
      <c r="C346" s="19"/>
      <c r="D346" s="2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21"/>
      <c r="X346" s="21"/>
      <c r="Y346" s="21"/>
      <c r="Z346" s="21"/>
    </row>
    <row r="347" spans="1:26" ht="15.75" customHeight="1">
      <c r="A347" s="17"/>
      <c r="B347" s="18"/>
      <c r="C347" s="19"/>
      <c r="D347" s="20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21"/>
      <c r="X347" s="21"/>
      <c r="Y347" s="21"/>
      <c r="Z347" s="21"/>
    </row>
    <row r="348" spans="1:26" ht="15.75" customHeight="1">
      <c r="A348" s="17"/>
      <c r="B348" s="18"/>
      <c r="C348" s="19"/>
      <c r="D348" s="20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21"/>
      <c r="X348" s="21"/>
      <c r="Y348" s="21"/>
      <c r="Z348" s="21"/>
    </row>
    <row r="349" spans="1:26" ht="15.75" customHeight="1">
      <c r="A349" s="17"/>
      <c r="B349" s="18"/>
      <c r="C349" s="19"/>
      <c r="D349" s="20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1"/>
      <c r="X349" s="21"/>
      <c r="Y349" s="21"/>
      <c r="Z349" s="21"/>
    </row>
    <row r="350" spans="1:26" ht="15.75" customHeight="1">
      <c r="A350" s="17"/>
      <c r="B350" s="18"/>
      <c r="C350" s="19"/>
      <c r="D350" s="20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21"/>
      <c r="X350" s="21"/>
      <c r="Y350" s="21"/>
      <c r="Z350" s="21"/>
    </row>
    <row r="351" spans="1:26" ht="15.75" customHeight="1">
      <c r="A351" s="17"/>
      <c r="B351" s="18"/>
      <c r="C351" s="19"/>
      <c r="D351" s="20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21"/>
      <c r="X351" s="21"/>
      <c r="Y351" s="21"/>
      <c r="Z351" s="21"/>
    </row>
    <row r="352" spans="1:26" ht="15.75" customHeight="1">
      <c r="A352" s="17"/>
      <c r="B352" s="18"/>
      <c r="C352" s="19"/>
      <c r="D352" s="20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21"/>
      <c r="X352" s="21"/>
      <c r="Y352" s="21"/>
      <c r="Z352" s="21"/>
    </row>
    <row r="353" spans="1:26" ht="15.75" customHeight="1">
      <c r="A353" s="17"/>
      <c r="B353" s="18"/>
      <c r="C353" s="19"/>
      <c r="D353" s="20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21"/>
      <c r="X353" s="21"/>
      <c r="Y353" s="21"/>
      <c r="Z353" s="21"/>
    </row>
    <row r="354" spans="1:26" ht="15.75" customHeight="1">
      <c r="A354" s="17"/>
      <c r="B354" s="18"/>
      <c r="C354" s="19"/>
      <c r="D354" s="20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21"/>
      <c r="X354" s="21"/>
      <c r="Y354" s="21"/>
      <c r="Z354" s="21"/>
    </row>
    <row r="355" spans="1:26" ht="15.75" customHeight="1">
      <c r="A355" s="17"/>
      <c r="B355" s="18"/>
      <c r="C355" s="19"/>
      <c r="D355" s="20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1"/>
      <c r="X355" s="21"/>
      <c r="Y355" s="21"/>
      <c r="Z355" s="21"/>
    </row>
    <row r="356" spans="1:26" ht="15.75" customHeight="1">
      <c r="A356" s="17"/>
      <c r="B356" s="18"/>
      <c r="C356" s="19"/>
      <c r="D356" s="20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21"/>
      <c r="X356" s="21"/>
      <c r="Y356" s="21"/>
      <c r="Z356" s="21"/>
    </row>
    <row r="357" spans="1:26" ht="15.75" customHeight="1">
      <c r="A357" s="17"/>
      <c r="B357" s="18"/>
      <c r="C357" s="19"/>
      <c r="D357" s="20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21"/>
      <c r="X357" s="21"/>
      <c r="Y357" s="21"/>
      <c r="Z357" s="21"/>
    </row>
    <row r="358" spans="1:26" ht="15.75" customHeight="1">
      <c r="A358" s="17"/>
      <c r="B358" s="18"/>
      <c r="C358" s="19"/>
      <c r="D358" s="20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21"/>
      <c r="X358" s="21"/>
      <c r="Y358" s="21"/>
      <c r="Z358" s="21"/>
    </row>
    <row r="359" spans="1:26" ht="15.75" customHeight="1">
      <c r="A359" s="17"/>
      <c r="B359" s="18"/>
      <c r="C359" s="19"/>
      <c r="D359" s="20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21"/>
      <c r="X359" s="21"/>
      <c r="Y359" s="21"/>
      <c r="Z359" s="21"/>
    </row>
    <row r="360" spans="1:26" ht="15.75" customHeight="1">
      <c r="A360" s="17"/>
      <c r="B360" s="18"/>
      <c r="C360" s="19"/>
      <c r="D360" s="20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21"/>
      <c r="X360" s="21"/>
      <c r="Y360" s="21"/>
      <c r="Z360" s="21"/>
    </row>
    <row r="361" spans="1:26" ht="15.75" customHeight="1">
      <c r="A361" s="17"/>
      <c r="B361" s="18"/>
      <c r="C361" s="19"/>
      <c r="D361" s="20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21"/>
      <c r="X361" s="21"/>
      <c r="Y361" s="21"/>
      <c r="Z361" s="21"/>
    </row>
    <row r="362" spans="1:26" ht="15.75" customHeight="1">
      <c r="A362" s="17"/>
      <c r="B362" s="18"/>
      <c r="C362" s="19"/>
      <c r="D362" s="20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21"/>
      <c r="X362" s="21"/>
      <c r="Y362" s="21"/>
      <c r="Z362" s="21"/>
    </row>
    <row r="363" spans="1:26" ht="15.75" customHeight="1">
      <c r="A363" s="17"/>
      <c r="B363" s="18"/>
      <c r="C363" s="19"/>
      <c r="D363" s="20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21"/>
      <c r="X363" s="21"/>
      <c r="Y363" s="21"/>
      <c r="Z363" s="21"/>
    </row>
    <row r="364" spans="1:26" ht="15.75" customHeight="1">
      <c r="A364" s="17"/>
      <c r="B364" s="18"/>
      <c r="C364" s="19"/>
      <c r="D364" s="20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21"/>
      <c r="X364" s="21"/>
      <c r="Y364" s="21"/>
      <c r="Z364" s="21"/>
    </row>
    <row r="365" spans="1:26" ht="15.75" customHeight="1">
      <c r="A365" s="17"/>
      <c r="B365" s="18"/>
      <c r="C365" s="19"/>
      <c r="D365" s="20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21"/>
      <c r="X365" s="21"/>
      <c r="Y365" s="21"/>
      <c r="Z365" s="21"/>
    </row>
    <row r="366" spans="1:26" ht="15.75" customHeight="1">
      <c r="A366" s="17"/>
      <c r="B366" s="18"/>
      <c r="C366" s="19"/>
      <c r="D366" s="20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21"/>
      <c r="X366" s="21"/>
      <c r="Y366" s="21"/>
      <c r="Z366" s="21"/>
    </row>
    <row r="367" spans="1:26" ht="15.75" customHeight="1">
      <c r="A367" s="17"/>
      <c r="B367" s="18"/>
      <c r="C367" s="19"/>
      <c r="D367" s="20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21"/>
      <c r="X367" s="21"/>
      <c r="Y367" s="21"/>
      <c r="Z367" s="21"/>
    </row>
    <row r="368" spans="1:26" ht="15.75" customHeight="1">
      <c r="A368" s="17"/>
      <c r="B368" s="18"/>
      <c r="C368" s="19"/>
      <c r="D368" s="20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21"/>
      <c r="X368" s="21"/>
      <c r="Y368" s="21"/>
      <c r="Z368" s="21"/>
    </row>
    <row r="369" spans="1:26" ht="15.75" customHeight="1">
      <c r="A369" s="17"/>
      <c r="B369" s="18"/>
      <c r="C369" s="19"/>
      <c r="D369" s="20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1"/>
      <c r="X369" s="21"/>
      <c r="Y369" s="21"/>
      <c r="Z369" s="21"/>
    </row>
    <row r="370" spans="1:26" ht="15.75" customHeight="1">
      <c r="A370" s="17"/>
      <c r="B370" s="18"/>
      <c r="C370" s="19"/>
      <c r="D370" s="20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21"/>
      <c r="X370" s="21"/>
      <c r="Y370" s="21"/>
      <c r="Z370" s="21"/>
    </row>
    <row r="371" spans="1:26" ht="15.75" customHeight="1">
      <c r="A371" s="17"/>
      <c r="B371" s="18"/>
      <c r="C371" s="19"/>
      <c r="D371" s="20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21"/>
      <c r="X371" s="21"/>
      <c r="Y371" s="21"/>
      <c r="Z371" s="21"/>
    </row>
    <row r="372" spans="1:26" ht="15.75" customHeight="1">
      <c r="A372" s="17"/>
      <c r="B372" s="18"/>
      <c r="C372" s="19"/>
      <c r="D372" s="20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21"/>
      <c r="X372" s="21"/>
      <c r="Y372" s="21"/>
      <c r="Z372" s="21"/>
    </row>
    <row r="373" spans="1:26" ht="15.75" customHeight="1">
      <c r="A373" s="17"/>
      <c r="B373" s="18"/>
      <c r="C373" s="19"/>
      <c r="D373" s="20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21"/>
      <c r="X373" s="21"/>
      <c r="Y373" s="21"/>
      <c r="Z373" s="21"/>
    </row>
    <row r="374" spans="1:26" ht="15.75" customHeight="1">
      <c r="A374" s="17"/>
      <c r="B374" s="18"/>
      <c r="C374" s="19"/>
      <c r="D374" s="20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21"/>
      <c r="X374" s="21"/>
      <c r="Y374" s="21"/>
      <c r="Z374" s="21"/>
    </row>
    <row r="375" spans="1:26" ht="15.75" customHeight="1">
      <c r="A375" s="17"/>
      <c r="B375" s="18"/>
      <c r="C375" s="19"/>
      <c r="D375" s="20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21"/>
      <c r="X375" s="21"/>
      <c r="Y375" s="21"/>
      <c r="Z375" s="21"/>
    </row>
    <row r="376" spans="1:26" ht="15.75" customHeight="1">
      <c r="A376" s="17"/>
      <c r="B376" s="18"/>
      <c r="C376" s="19"/>
      <c r="D376" s="20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21"/>
      <c r="X376" s="21"/>
      <c r="Y376" s="21"/>
      <c r="Z376" s="21"/>
    </row>
    <row r="377" spans="1:26" ht="15.75" customHeight="1">
      <c r="A377" s="17"/>
      <c r="B377" s="18"/>
      <c r="C377" s="19"/>
      <c r="D377" s="20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21"/>
      <c r="X377" s="21"/>
      <c r="Y377" s="21"/>
      <c r="Z377" s="21"/>
    </row>
    <row r="378" spans="1:26" ht="15.75" customHeight="1">
      <c r="A378" s="17"/>
      <c r="B378" s="18"/>
      <c r="C378" s="19"/>
      <c r="D378" s="20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21"/>
      <c r="X378" s="21"/>
      <c r="Y378" s="21"/>
      <c r="Z378" s="21"/>
    </row>
    <row r="379" spans="1:26" ht="15.75" customHeight="1">
      <c r="A379" s="17"/>
      <c r="B379" s="18"/>
      <c r="C379" s="19"/>
      <c r="D379" s="20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21"/>
      <c r="X379" s="21"/>
      <c r="Y379" s="21"/>
      <c r="Z379" s="21"/>
    </row>
    <row r="380" spans="1:26" ht="15.75" customHeight="1">
      <c r="A380" s="17"/>
      <c r="B380" s="18"/>
      <c r="C380" s="19"/>
      <c r="D380" s="20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21"/>
      <c r="X380" s="21"/>
      <c r="Y380" s="21"/>
      <c r="Z380" s="21"/>
    </row>
    <row r="381" spans="1:26" ht="15.75" customHeight="1">
      <c r="A381" s="17"/>
      <c r="B381" s="18"/>
      <c r="C381" s="19"/>
      <c r="D381" s="20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21"/>
      <c r="X381" s="21"/>
      <c r="Y381" s="21"/>
      <c r="Z381" s="21"/>
    </row>
    <row r="382" spans="1:26" ht="15.75" customHeight="1">
      <c r="A382" s="17"/>
      <c r="B382" s="18"/>
      <c r="C382" s="19"/>
      <c r="D382" s="20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21"/>
      <c r="X382" s="21"/>
      <c r="Y382" s="21"/>
      <c r="Z382" s="21"/>
    </row>
    <row r="383" spans="1:26" ht="15.75" customHeight="1">
      <c r="A383" s="17"/>
      <c r="B383" s="18"/>
      <c r="C383" s="19"/>
      <c r="D383" s="20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21"/>
      <c r="X383" s="21"/>
      <c r="Y383" s="21"/>
      <c r="Z383" s="21"/>
    </row>
    <row r="384" spans="1:26" ht="15.75" customHeight="1">
      <c r="A384" s="17"/>
      <c r="B384" s="18"/>
      <c r="C384" s="19"/>
      <c r="D384" s="20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21"/>
      <c r="X384" s="21"/>
      <c r="Y384" s="21"/>
      <c r="Z384" s="21"/>
    </row>
    <row r="385" spans="1:26" ht="15.75" customHeight="1">
      <c r="A385" s="17"/>
      <c r="B385" s="18"/>
      <c r="C385" s="19"/>
      <c r="D385" s="20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21"/>
      <c r="X385" s="21"/>
      <c r="Y385" s="21"/>
      <c r="Z385" s="21"/>
    </row>
    <row r="386" spans="1:26" ht="15.75" customHeight="1">
      <c r="A386" s="17"/>
      <c r="B386" s="18"/>
      <c r="C386" s="19"/>
      <c r="D386" s="20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21"/>
      <c r="X386" s="21"/>
      <c r="Y386" s="21"/>
      <c r="Z386" s="21"/>
    </row>
    <row r="387" spans="1:26" ht="15.75" customHeight="1">
      <c r="A387" s="17"/>
      <c r="B387" s="18"/>
      <c r="C387" s="19"/>
      <c r="D387" s="20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21"/>
      <c r="X387" s="21"/>
      <c r="Y387" s="21"/>
      <c r="Z387" s="21"/>
    </row>
    <row r="388" spans="1:26" ht="15.75" customHeight="1">
      <c r="A388" s="17"/>
      <c r="B388" s="18"/>
      <c r="C388" s="19"/>
      <c r="D388" s="20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21"/>
      <c r="X388" s="21"/>
      <c r="Y388" s="21"/>
      <c r="Z388" s="21"/>
    </row>
    <row r="389" spans="1:26" ht="15.75" customHeight="1">
      <c r="A389" s="17"/>
      <c r="B389" s="18"/>
      <c r="C389" s="19"/>
      <c r="D389" s="20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21"/>
      <c r="X389" s="21"/>
      <c r="Y389" s="21"/>
      <c r="Z389" s="21"/>
    </row>
    <row r="390" spans="1:26" ht="15.75" customHeight="1">
      <c r="A390" s="17"/>
      <c r="B390" s="18"/>
      <c r="C390" s="19"/>
      <c r="D390" s="20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21"/>
      <c r="X390" s="21"/>
      <c r="Y390" s="21"/>
      <c r="Z390" s="21"/>
    </row>
    <row r="391" spans="1:26" ht="15.75" customHeight="1">
      <c r="A391" s="17"/>
      <c r="B391" s="18"/>
      <c r="C391" s="19"/>
      <c r="D391" s="20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21"/>
      <c r="X391" s="21"/>
      <c r="Y391" s="21"/>
      <c r="Z391" s="21"/>
    </row>
    <row r="392" spans="1:26" ht="15.75" customHeight="1">
      <c r="A392" s="17"/>
      <c r="B392" s="18"/>
      <c r="C392" s="19"/>
      <c r="D392" s="20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21"/>
      <c r="X392" s="21"/>
      <c r="Y392" s="21"/>
      <c r="Z392" s="21"/>
    </row>
    <row r="393" spans="1:26" ht="15.75" customHeight="1">
      <c r="A393" s="17"/>
      <c r="B393" s="18"/>
      <c r="C393" s="19"/>
      <c r="D393" s="20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21"/>
      <c r="X393" s="21"/>
      <c r="Y393" s="21"/>
      <c r="Z393" s="21"/>
    </row>
    <row r="394" spans="1:26" ht="15.75" customHeight="1">
      <c r="A394" s="17"/>
      <c r="B394" s="18"/>
      <c r="C394" s="19"/>
      <c r="D394" s="20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21"/>
      <c r="X394" s="21"/>
      <c r="Y394" s="21"/>
      <c r="Z394" s="21"/>
    </row>
    <row r="395" spans="1:26" ht="15.75" customHeight="1">
      <c r="A395" s="17"/>
      <c r="B395" s="18"/>
      <c r="C395" s="19"/>
      <c r="D395" s="20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21"/>
      <c r="X395" s="21"/>
      <c r="Y395" s="21"/>
      <c r="Z395" s="21"/>
    </row>
    <row r="396" spans="1:26" ht="15.75" customHeight="1">
      <c r="A396" s="17"/>
      <c r="B396" s="18"/>
      <c r="C396" s="19"/>
      <c r="D396" s="20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21"/>
      <c r="X396" s="21"/>
      <c r="Y396" s="21"/>
      <c r="Z396" s="21"/>
    </row>
    <row r="397" spans="1:26" ht="15.75" customHeight="1">
      <c r="A397" s="17"/>
      <c r="B397" s="18"/>
      <c r="C397" s="19"/>
      <c r="D397" s="20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21"/>
      <c r="X397" s="21"/>
      <c r="Y397" s="21"/>
      <c r="Z397" s="21"/>
    </row>
    <row r="398" spans="1:26" ht="15.75" customHeight="1">
      <c r="A398" s="17"/>
      <c r="B398" s="18"/>
      <c r="C398" s="19"/>
      <c r="D398" s="20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21"/>
      <c r="X398" s="21"/>
      <c r="Y398" s="21"/>
      <c r="Z398" s="21"/>
    </row>
    <row r="399" spans="1:26" ht="15.75" customHeight="1">
      <c r="A399" s="17"/>
      <c r="B399" s="18"/>
      <c r="C399" s="19"/>
      <c r="D399" s="20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21"/>
      <c r="X399" s="21"/>
      <c r="Y399" s="21"/>
      <c r="Z399" s="21"/>
    </row>
    <row r="400" spans="1:26" ht="15.75" customHeight="1">
      <c r="A400" s="17"/>
      <c r="B400" s="18"/>
      <c r="C400" s="19"/>
      <c r="D400" s="20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21"/>
      <c r="X400" s="21"/>
      <c r="Y400" s="21"/>
      <c r="Z400" s="21"/>
    </row>
    <row r="401" spans="1:26" ht="15.75" customHeight="1">
      <c r="A401" s="17"/>
      <c r="B401" s="18"/>
      <c r="C401" s="19"/>
      <c r="D401" s="20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21"/>
      <c r="X401" s="21"/>
      <c r="Y401" s="21"/>
      <c r="Z401" s="21"/>
    </row>
    <row r="402" spans="1:26" ht="15.75" customHeight="1">
      <c r="A402" s="17"/>
      <c r="B402" s="18"/>
      <c r="C402" s="19"/>
      <c r="D402" s="20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21"/>
      <c r="X402" s="21"/>
      <c r="Y402" s="21"/>
      <c r="Z402" s="21"/>
    </row>
    <row r="403" spans="1:26" ht="15.75" customHeight="1">
      <c r="A403" s="17"/>
      <c r="B403" s="18"/>
      <c r="C403" s="19"/>
      <c r="D403" s="20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21"/>
      <c r="X403" s="21"/>
      <c r="Y403" s="21"/>
      <c r="Z403" s="21"/>
    </row>
    <row r="404" spans="1:26" ht="15.75" customHeight="1">
      <c r="A404" s="17"/>
      <c r="B404" s="18"/>
      <c r="C404" s="19"/>
      <c r="D404" s="20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21"/>
      <c r="X404" s="21"/>
      <c r="Y404" s="21"/>
      <c r="Z404" s="21"/>
    </row>
    <row r="405" spans="1:26" ht="15.75" customHeight="1">
      <c r="A405" s="17"/>
      <c r="B405" s="18"/>
      <c r="C405" s="19"/>
      <c r="D405" s="20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21"/>
      <c r="X405" s="21"/>
      <c r="Y405" s="21"/>
      <c r="Z405" s="21"/>
    </row>
    <row r="406" spans="1:26" ht="15.75" customHeight="1">
      <c r="A406" s="17"/>
      <c r="B406" s="18"/>
      <c r="C406" s="19"/>
      <c r="D406" s="20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21"/>
      <c r="X406" s="21"/>
      <c r="Y406" s="21"/>
      <c r="Z406" s="21"/>
    </row>
    <row r="407" spans="1:26" ht="15.75" customHeight="1">
      <c r="A407" s="17"/>
      <c r="B407" s="18"/>
      <c r="C407" s="19"/>
      <c r="D407" s="20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21"/>
      <c r="X407" s="21"/>
      <c r="Y407" s="21"/>
      <c r="Z407" s="21"/>
    </row>
    <row r="408" spans="1:26" ht="15.75" customHeight="1">
      <c r="A408" s="17"/>
      <c r="B408" s="18"/>
      <c r="C408" s="19"/>
      <c r="D408" s="20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21"/>
      <c r="X408" s="21"/>
      <c r="Y408" s="21"/>
      <c r="Z408" s="21"/>
    </row>
    <row r="409" spans="1:26" ht="15.75" customHeight="1">
      <c r="A409" s="17"/>
      <c r="B409" s="18"/>
      <c r="C409" s="19"/>
      <c r="D409" s="20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21"/>
      <c r="X409" s="21"/>
      <c r="Y409" s="21"/>
      <c r="Z409" s="21"/>
    </row>
    <row r="410" spans="1:26" ht="15.75" customHeight="1">
      <c r="A410" s="17"/>
      <c r="B410" s="18"/>
      <c r="C410" s="19"/>
      <c r="D410" s="20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21"/>
      <c r="X410" s="21"/>
      <c r="Y410" s="21"/>
      <c r="Z410" s="21"/>
    </row>
    <row r="411" spans="1:26" ht="15.75" customHeight="1">
      <c r="A411" s="17"/>
      <c r="B411" s="18"/>
      <c r="C411" s="19"/>
      <c r="D411" s="20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21"/>
      <c r="X411" s="21"/>
      <c r="Y411" s="21"/>
      <c r="Z411" s="21"/>
    </row>
    <row r="412" spans="1:26" ht="15.75" customHeight="1">
      <c r="A412" s="17"/>
      <c r="B412" s="18"/>
      <c r="C412" s="19"/>
      <c r="D412" s="2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21"/>
      <c r="X412" s="21"/>
      <c r="Y412" s="21"/>
      <c r="Z412" s="21"/>
    </row>
    <row r="413" spans="1:26" ht="15.75" customHeight="1">
      <c r="A413" s="17"/>
      <c r="B413" s="18"/>
      <c r="C413" s="19"/>
      <c r="D413" s="20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21"/>
      <c r="X413" s="21"/>
      <c r="Y413" s="21"/>
      <c r="Z413" s="21"/>
    </row>
    <row r="414" spans="1:26" ht="15.75" customHeight="1">
      <c r="A414" s="17"/>
      <c r="B414" s="18"/>
      <c r="C414" s="19"/>
      <c r="D414" s="20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21"/>
      <c r="X414" s="21"/>
      <c r="Y414" s="21"/>
      <c r="Z414" s="21"/>
    </row>
    <row r="415" spans="1:26" ht="15.75" customHeight="1">
      <c r="A415" s="17"/>
      <c r="B415" s="18"/>
      <c r="C415" s="19"/>
      <c r="D415" s="20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21"/>
      <c r="X415" s="21"/>
      <c r="Y415" s="21"/>
      <c r="Z415" s="21"/>
    </row>
    <row r="416" spans="1:26" ht="15.75" customHeight="1">
      <c r="A416" s="17"/>
      <c r="B416" s="18"/>
      <c r="C416" s="19"/>
      <c r="D416" s="20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21"/>
      <c r="X416" s="21"/>
      <c r="Y416" s="21"/>
      <c r="Z416" s="21"/>
    </row>
    <row r="417" spans="1:26" ht="15.75" customHeight="1">
      <c r="A417" s="17"/>
      <c r="B417" s="18"/>
      <c r="C417" s="19"/>
      <c r="D417" s="20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21"/>
      <c r="X417" s="21"/>
      <c r="Y417" s="21"/>
      <c r="Z417" s="21"/>
    </row>
    <row r="418" spans="1:26" ht="15.75" customHeight="1">
      <c r="A418" s="17"/>
      <c r="B418" s="18"/>
      <c r="C418" s="19"/>
      <c r="D418" s="20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21"/>
      <c r="X418" s="21"/>
      <c r="Y418" s="21"/>
      <c r="Z418" s="21"/>
    </row>
    <row r="419" spans="1:26" ht="15.75" customHeight="1">
      <c r="A419" s="17"/>
      <c r="B419" s="18"/>
      <c r="C419" s="19"/>
      <c r="D419" s="20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21"/>
      <c r="X419" s="21"/>
      <c r="Y419" s="21"/>
      <c r="Z419" s="21"/>
    </row>
    <row r="420" spans="1:26" ht="15.75" customHeight="1">
      <c r="A420" s="17"/>
      <c r="B420" s="18"/>
      <c r="C420" s="19"/>
      <c r="D420" s="20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21"/>
      <c r="X420" s="21"/>
      <c r="Y420" s="21"/>
      <c r="Z420" s="21"/>
    </row>
    <row r="421" spans="1:26" ht="15.75" customHeight="1">
      <c r="A421" s="17"/>
      <c r="B421" s="18"/>
      <c r="C421" s="19"/>
      <c r="D421" s="20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21"/>
      <c r="X421" s="21"/>
      <c r="Y421" s="21"/>
      <c r="Z421" s="21"/>
    </row>
    <row r="422" spans="1:26" ht="15.75" customHeight="1">
      <c r="A422" s="17"/>
      <c r="B422" s="18"/>
      <c r="C422" s="19"/>
      <c r="D422" s="20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21"/>
      <c r="X422" s="21"/>
      <c r="Y422" s="21"/>
      <c r="Z422" s="21"/>
    </row>
    <row r="423" spans="1:26" ht="15.75" customHeight="1">
      <c r="A423" s="17"/>
      <c r="B423" s="18"/>
      <c r="C423" s="19"/>
      <c r="D423" s="20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21"/>
      <c r="X423" s="21"/>
      <c r="Y423" s="21"/>
      <c r="Z423" s="21"/>
    </row>
    <row r="424" spans="1:26" ht="15.75" customHeight="1">
      <c r="A424" s="17"/>
      <c r="B424" s="18"/>
      <c r="C424" s="19"/>
      <c r="D424" s="20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21"/>
      <c r="X424" s="21"/>
      <c r="Y424" s="21"/>
      <c r="Z424" s="21"/>
    </row>
    <row r="425" spans="1:26" ht="15.75" customHeight="1">
      <c r="A425" s="17"/>
      <c r="B425" s="18"/>
      <c r="C425" s="19"/>
      <c r="D425" s="20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21"/>
      <c r="X425" s="21"/>
      <c r="Y425" s="21"/>
      <c r="Z425" s="21"/>
    </row>
    <row r="426" spans="1:26" ht="15.75" customHeight="1">
      <c r="A426" s="17"/>
      <c r="B426" s="18"/>
      <c r="C426" s="19"/>
      <c r="D426" s="20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21"/>
      <c r="X426" s="21"/>
      <c r="Y426" s="21"/>
      <c r="Z426" s="21"/>
    </row>
    <row r="427" spans="1:26" ht="15.75" customHeight="1">
      <c r="A427" s="17"/>
      <c r="B427" s="18"/>
      <c r="C427" s="19"/>
      <c r="D427" s="20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21"/>
      <c r="X427" s="21"/>
      <c r="Y427" s="21"/>
      <c r="Z427" s="21"/>
    </row>
    <row r="428" spans="1:26" ht="15.75" customHeight="1">
      <c r="A428" s="17"/>
      <c r="B428" s="18"/>
      <c r="C428" s="19"/>
      <c r="D428" s="20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21"/>
      <c r="X428" s="21"/>
      <c r="Y428" s="21"/>
      <c r="Z428" s="21"/>
    </row>
    <row r="429" spans="1:26" ht="15.75" customHeight="1">
      <c r="A429" s="17"/>
      <c r="B429" s="18"/>
      <c r="C429" s="19"/>
      <c r="D429" s="2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21"/>
      <c r="X429" s="21"/>
      <c r="Y429" s="21"/>
      <c r="Z429" s="21"/>
    </row>
    <row r="430" spans="1:26" ht="15.75" customHeight="1">
      <c r="A430" s="17"/>
      <c r="B430" s="18"/>
      <c r="C430" s="19"/>
      <c r="D430" s="2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21"/>
      <c r="X430" s="21"/>
      <c r="Y430" s="21"/>
      <c r="Z430" s="21"/>
    </row>
    <row r="431" spans="1:26" ht="15.75" customHeight="1">
      <c r="A431" s="17"/>
      <c r="B431" s="18"/>
      <c r="C431" s="19"/>
      <c r="D431" s="2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21"/>
      <c r="X431" s="21"/>
      <c r="Y431" s="21"/>
      <c r="Z431" s="21"/>
    </row>
    <row r="432" spans="1:26" ht="15.75" customHeight="1">
      <c r="A432" s="17"/>
      <c r="B432" s="18"/>
      <c r="C432" s="19"/>
      <c r="D432" s="2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21"/>
      <c r="X432" s="21"/>
      <c r="Y432" s="21"/>
      <c r="Z432" s="21"/>
    </row>
    <row r="433" spans="1:26" ht="15.75" customHeight="1">
      <c r="A433" s="17"/>
      <c r="B433" s="18"/>
      <c r="C433" s="19"/>
      <c r="D433" s="2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21"/>
      <c r="X433" s="21"/>
      <c r="Y433" s="21"/>
      <c r="Z433" s="21"/>
    </row>
    <row r="434" spans="1:26" ht="15.75" customHeight="1">
      <c r="A434" s="17"/>
      <c r="B434" s="18"/>
      <c r="C434" s="19"/>
      <c r="D434" s="2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21"/>
      <c r="X434" s="21"/>
      <c r="Y434" s="21"/>
      <c r="Z434" s="21"/>
    </row>
    <row r="435" spans="1:26" ht="15.75" customHeight="1">
      <c r="A435" s="17"/>
      <c r="B435" s="18"/>
      <c r="C435" s="19"/>
      <c r="D435" s="2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21"/>
      <c r="X435" s="21"/>
      <c r="Y435" s="21"/>
      <c r="Z435" s="21"/>
    </row>
    <row r="436" spans="1:26" ht="15.75" customHeight="1">
      <c r="A436" s="17"/>
      <c r="B436" s="18"/>
      <c r="C436" s="19"/>
      <c r="D436" s="2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21"/>
      <c r="X436" s="21"/>
      <c r="Y436" s="21"/>
      <c r="Z436" s="21"/>
    </row>
    <row r="437" spans="1:26" ht="15.75" customHeight="1">
      <c r="A437" s="17"/>
      <c r="B437" s="18"/>
      <c r="C437" s="19"/>
      <c r="D437" s="2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21"/>
      <c r="X437" s="21"/>
      <c r="Y437" s="21"/>
      <c r="Z437" s="21"/>
    </row>
    <row r="438" spans="1:26" ht="15.75" customHeight="1">
      <c r="A438" s="17"/>
      <c r="B438" s="18"/>
      <c r="C438" s="19"/>
      <c r="D438" s="2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21"/>
      <c r="X438" s="21"/>
      <c r="Y438" s="21"/>
      <c r="Z438" s="21"/>
    </row>
    <row r="439" spans="1:26" ht="15.75" customHeight="1">
      <c r="A439" s="17"/>
      <c r="B439" s="18"/>
      <c r="C439" s="19"/>
      <c r="D439" s="2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21"/>
      <c r="X439" s="21"/>
      <c r="Y439" s="21"/>
      <c r="Z439" s="21"/>
    </row>
    <row r="440" spans="1:26" ht="15.75" customHeight="1">
      <c r="A440" s="17"/>
      <c r="B440" s="18"/>
      <c r="C440" s="19"/>
      <c r="D440" s="2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21"/>
      <c r="X440" s="21"/>
      <c r="Y440" s="21"/>
      <c r="Z440" s="21"/>
    </row>
    <row r="441" spans="1:26" ht="15.75" customHeight="1">
      <c r="A441" s="17"/>
      <c r="B441" s="18"/>
      <c r="C441" s="19"/>
      <c r="D441" s="2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21"/>
      <c r="X441" s="21"/>
      <c r="Y441" s="21"/>
      <c r="Z441" s="21"/>
    </row>
    <row r="442" spans="1:26" ht="15.75" customHeight="1">
      <c r="A442" s="17"/>
      <c r="B442" s="18"/>
      <c r="C442" s="19"/>
      <c r="D442" s="2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21"/>
      <c r="X442" s="21"/>
      <c r="Y442" s="21"/>
      <c r="Z442" s="21"/>
    </row>
    <row r="443" spans="1:26" ht="15.75" customHeight="1">
      <c r="A443" s="17"/>
      <c r="B443" s="18"/>
      <c r="C443" s="19"/>
      <c r="D443" s="2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21"/>
      <c r="X443" s="21"/>
      <c r="Y443" s="21"/>
      <c r="Z443" s="21"/>
    </row>
    <row r="444" spans="1:26" ht="15.75" customHeight="1">
      <c r="A444" s="17"/>
      <c r="B444" s="18"/>
      <c r="C444" s="19"/>
      <c r="D444" s="2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21"/>
      <c r="X444" s="21"/>
      <c r="Y444" s="21"/>
      <c r="Z444" s="21"/>
    </row>
    <row r="445" spans="1:26" ht="15.75" customHeight="1">
      <c r="A445" s="17"/>
      <c r="B445" s="18"/>
      <c r="C445" s="19"/>
      <c r="D445" s="2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21"/>
      <c r="X445" s="21"/>
      <c r="Y445" s="21"/>
      <c r="Z445" s="21"/>
    </row>
    <row r="446" spans="1:26" ht="15.75" customHeight="1">
      <c r="A446" s="17"/>
      <c r="B446" s="18"/>
      <c r="C446" s="19"/>
      <c r="D446" s="2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21"/>
      <c r="X446" s="21"/>
      <c r="Y446" s="21"/>
      <c r="Z446" s="21"/>
    </row>
    <row r="447" spans="1:26" ht="15.75" customHeight="1">
      <c r="A447" s="17"/>
      <c r="B447" s="18"/>
      <c r="C447" s="19"/>
      <c r="D447" s="2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21"/>
      <c r="X447" s="21"/>
      <c r="Y447" s="21"/>
      <c r="Z447" s="21"/>
    </row>
    <row r="448" spans="1:26" ht="15.75" customHeight="1">
      <c r="A448" s="17"/>
      <c r="B448" s="18"/>
      <c r="C448" s="19"/>
      <c r="D448" s="2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21"/>
      <c r="X448" s="21"/>
      <c r="Y448" s="21"/>
      <c r="Z448" s="21"/>
    </row>
    <row r="449" spans="1:26" ht="15.75" customHeight="1">
      <c r="A449" s="17"/>
      <c r="B449" s="18"/>
      <c r="C449" s="19"/>
      <c r="D449" s="2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21"/>
      <c r="X449" s="21"/>
      <c r="Y449" s="21"/>
      <c r="Z449" s="21"/>
    </row>
    <row r="450" spans="1:26" ht="15.75" customHeight="1">
      <c r="A450" s="17"/>
      <c r="B450" s="18"/>
      <c r="C450" s="19"/>
      <c r="D450" s="2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21"/>
      <c r="X450" s="21"/>
      <c r="Y450" s="21"/>
      <c r="Z450" s="21"/>
    </row>
    <row r="451" spans="1:26" ht="15.75" customHeight="1">
      <c r="A451" s="17"/>
      <c r="B451" s="18"/>
      <c r="C451" s="19"/>
      <c r="D451" s="2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21"/>
      <c r="X451" s="21"/>
      <c r="Y451" s="21"/>
      <c r="Z451" s="21"/>
    </row>
    <row r="452" spans="1:26" ht="15.75" customHeight="1">
      <c r="A452" s="17"/>
      <c r="B452" s="18"/>
      <c r="C452" s="19"/>
      <c r="D452" s="2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21"/>
      <c r="X452" s="21"/>
      <c r="Y452" s="21"/>
      <c r="Z452" s="21"/>
    </row>
    <row r="453" spans="1:26" ht="15.75" customHeight="1">
      <c r="A453" s="17"/>
      <c r="B453" s="18"/>
      <c r="C453" s="19"/>
      <c r="D453" s="2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21"/>
      <c r="X453" s="21"/>
      <c r="Y453" s="21"/>
      <c r="Z453" s="21"/>
    </row>
    <row r="454" spans="1:26" ht="15.75" customHeight="1">
      <c r="A454" s="17"/>
      <c r="B454" s="18"/>
      <c r="C454" s="19"/>
      <c r="D454" s="2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21"/>
      <c r="X454" s="21"/>
      <c r="Y454" s="21"/>
      <c r="Z454" s="21"/>
    </row>
    <row r="455" spans="1:26" ht="15.75" customHeight="1">
      <c r="A455" s="17"/>
      <c r="B455" s="18"/>
      <c r="C455" s="19"/>
      <c r="D455" s="2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21"/>
      <c r="X455" s="21"/>
      <c r="Y455" s="21"/>
      <c r="Z455" s="21"/>
    </row>
    <row r="456" spans="1:26" ht="15.75" customHeight="1">
      <c r="A456" s="17"/>
      <c r="B456" s="18"/>
      <c r="C456" s="19"/>
      <c r="D456" s="2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21"/>
      <c r="X456" s="21"/>
      <c r="Y456" s="21"/>
      <c r="Z456" s="21"/>
    </row>
    <row r="457" spans="1:26" ht="15.75" customHeight="1">
      <c r="A457" s="17"/>
      <c r="B457" s="18"/>
      <c r="C457" s="19"/>
      <c r="D457" s="2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21"/>
      <c r="X457" s="21"/>
      <c r="Y457" s="21"/>
      <c r="Z457" s="21"/>
    </row>
    <row r="458" spans="1:26" ht="15.75" customHeight="1">
      <c r="A458" s="17"/>
      <c r="B458" s="18"/>
      <c r="C458" s="19"/>
      <c r="D458" s="2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21"/>
      <c r="X458" s="21"/>
      <c r="Y458" s="21"/>
      <c r="Z458" s="21"/>
    </row>
    <row r="459" spans="1:26" ht="15.75" customHeight="1">
      <c r="A459" s="17"/>
      <c r="B459" s="18"/>
      <c r="C459" s="19"/>
      <c r="D459" s="2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21"/>
      <c r="X459" s="21"/>
      <c r="Y459" s="21"/>
      <c r="Z459" s="21"/>
    </row>
    <row r="460" spans="1:26" ht="15.75" customHeight="1">
      <c r="A460" s="17"/>
      <c r="B460" s="18"/>
      <c r="C460" s="19"/>
      <c r="D460" s="2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21"/>
      <c r="X460" s="21"/>
      <c r="Y460" s="21"/>
      <c r="Z460" s="21"/>
    </row>
    <row r="461" spans="1:26" ht="15.75" customHeight="1">
      <c r="A461" s="17"/>
      <c r="B461" s="18"/>
      <c r="C461" s="19"/>
      <c r="D461" s="2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21"/>
      <c r="X461" s="21"/>
      <c r="Y461" s="21"/>
      <c r="Z461" s="21"/>
    </row>
    <row r="462" spans="1:26" ht="15.75" customHeight="1">
      <c r="A462" s="17"/>
      <c r="B462" s="18"/>
      <c r="C462" s="19"/>
      <c r="D462" s="2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21"/>
      <c r="X462" s="21"/>
      <c r="Y462" s="21"/>
      <c r="Z462" s="21"/>
    </row>
    <row r="463" spans="1:26" ht="15.75" customHeight="1">
      <c r="A463" s="17"/>
      <c r="B463" s="18"/>
      <c r="C463" s="19"/>
      <c r="D463" s="2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21"/>
      <c r="X463" s="21"/>
      <c r="Y463" s="21"/>
      <c r="Z463" s="21"/>
    </row>
    <row r="464" spans="1:26" ht="15.75" customHeight="1">
      <c r="A464" s="17"/>
      <c r="B464" s="18"/>
      <c r="C464" s="19"/>
      <c r="D464" s="2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21"/>
      <c r="X464" s="21"/>
      <c r="Y464" s="21"/>
      <c r="Z464" s="21"/>
    </row>
    <row r="465" spans="1:26" ht="15.75" customHeight="1">
      <c r="A465" s="17"/>
      <c r="B465" s="18"/>
      <c r="C465" s="19"/>
      <c r="D465" s="2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21"/>
      <c r="X465" s="21"/>
      <c r="Y465" s="21"/>
      <c r="Z465" s="21"/>
    </row>
    <row r="466" spans="1:26" ht="15.75" customHeight="1">
      <c r="A466" s="17"/>
      <c r="B466" s="18"/>
      <c r="C466" s="19"/>
      <c r="D466" s="2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21"/>
      <c r="X466" s="21"/>
      <c r="Y466" s="21"/>
      <c r="Z466" s="21"/>
    </row>
    <row r="467" spans="1:26" ht="15.75" customHeight="1">
      <c r="A467" s="17"/>
      <c r="B467" s="18"/>
      <c r="C467" s="19"/>
      <c r="D467" s="2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21"/>
      <c r="X467" s="21"/>
      <c r="Y467" s="21"/>
      <c r="Z467" s="21"/>
    </row>
    <row r="468" spans="1:26" ht="15.75" customHeight="1">
      <c r="A468" s="17"/>
      <c r="B468" s="18"/>
      <c r="C468" s="19"/>
      <c r="D468" s="2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21"/>
      <c r="X468" s="21"/>
      <c r="Y468" s="21"/>
      <c r="Z468" s="21"/>
    </row>
    <row r="469" spans="1:26" ht="15.75" customHeight="1">
      <c r="A469" s="17"/>
      <c r="B469" s="18"/>
      <c r="C469" s="19"/>
      <c r="D469" s="2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21"/>
      <c r="X469" s="21"/>
      <c r="Y469" s="21"/>
      <c r="Z469" s="21"/>
    </row>
    <row r="470" spans="1:26" ht="15.75" customHeight="1">
      <c r="A470" s="17"/>
      <c r="B470" s="18"/>
      <c r="C470" s="19"/>
      <c r="D470" s="2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21"/>
      <c r="X470" s="21"/>
      <c r="Y470" s="21"/>
      <c r="Z470" s="21"/>
    </row>
    <row r="471" spans="1:26" ht="15.75" customHeight="1">
      <c r="A471" s="17"/>
      <c r="B471" s="18"/>
      <c r="C471" s="19"/>
      <c r="D471" s="2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21"/>
      <c r="X471" s="21"/>
      <c r="Y471" s="21"/>
      <c r="Z471" s="21"/>
    </row>
    <row r="472" spans="1:26" ht="15.75" customHeight="1">
      <c r="A472" s="17"/>
      <c r="B472" s="18"/>
      <c r="C472" s="19"/>
      <c r="D472" s="2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21"/>
      <c r="X472" s="21"/>
      <c r="Y472" s="21"/>
      <c r="Z472" s="21"/>
    </row>
    <row r="473" spans="1:26" ht="15.75" customHeight="1">
      <c r="A473" s="17"/>
      <c r="B473" s="18"/>
      <c r="C473" s="19"/>
      <c r="D473" s="2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21"/>
      <c r="X473" s="21"/>
      <c r="Y473" s="21"/>
      <c r="Z473" s="21"/>
    </row>
    <row r="474" spans="1:26" ht="15.75" customHeight="1">
      <c r="A474" s="17"/>
      <c r="B474" s="18"/>
      <c r="C474" s="19"/>
      <c r="D474" s="2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21"/>
      <c r="X474" s="21"/>
      <c r="Y474" s="21"/>
      <c r="Z474" s="21"/>
    </row>
    <row r="475" spans="1:26" ht="15.75" customHeight="1">
      <c r="A475" s="17"/>
      <c r="B475" s="18"/>
      <c r="C475" s="19"/>
      <c r="D475" s="2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21"/>
      <c r="X475" s="21"/>
      <c r="Y475" s="21"/>
      <c r="Z475" s="21"/>
    </row>
    <row r="476" spans="1:26" ht="15.75" customHeight="1">
      <c r="A476" s="17"/>
      <c r="B476" s="18"/>
      <c r="C476" s="19"/>
      <c r="D476" s="2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21"/>
      <c r="X476" s="21"/>
      <c r="Y476" s="21"/>
      <c r="Z476" s="21"/>
    </row>
    <row r="477" spans="1:26" ht="15.75" customHeight="1">
      <c r="A477" s="17"/>
      <c r="B477" s="18"/>
      <c r="C477" s="19"/>
      <c r="D477" s="2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21"/>
      <c r="X477" s="21"/>
      <c r="Y477" s="21"/>
      <c r="Z477" s="21"/>
    </row>
    <row r="478" spans="1:26" ht="15.75" customHeight="1">
      <c r="A478" s="17"/>
      <c r="B478" s="18"/>
      <c r="C478" s="19"/>
      <c r="D478" s="2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21"/>
      <c r="X478" s="21"/>
      <c r="Y478" s="21"/>
      <c r="Z478" s="21"/>
    </row>
    <row r="479" spans="1:26" ht="15.75" customHeight="1">
      <c r="A479" s="17"/>
      <c r="B479" s="18"/>
      <c r="C479" s="19"/>
      <c r="D479" s="2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21"/>
      <c r="X479" s="21"/>
      <c r="Y479" s="21"/>
      <c r="Z479" s="21"/>
    </row>
    <row r="480" spans="1:26" ht="15.75" customHeight="1">
      <c r="A480" s="17"/>
      <c r="B480" s="18"/>
      <c r="C480" s="19"/>
      <c r="D480" s="2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21"/>
      <c r="X480" s="21"/>
      <c r="Y480" s="21"/>
      <c r="Z480" s="21"/>
    </row>
    <row r="481" spans="1:26" ht="15.75" customHeight="1">
      <c r="A481" s="17"/>
      <c r="B481" s="18"/>
      <c r="C481" s="19"/>
      <c r="D481" s="2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21"/>
      <c r="X481" s="21"/>
      <c r="Y481" s="21"/>
      <c r="Z481" s="21"/>
    </row>
    <row r="482" spans="1:26" ht="15.75" customHeight="1">
      <c r="A482" s="17"/>
      <c r="B482" s="18"/>
      <c r="C482" s="19"/>
      <c r="D482" s="2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21"/>
      <c r="X482" s="21"/>
      <c r="Y482" s="21"/>
      <c r="Z482" s="21"/>
    </row>
    <row r="483" spans="1:26" ht="15.75" customHeight="1">
      <c r="A483" s="17"/>
      <c r="B483" s="18"/>
      <c r="C483" s="19"/>
      <c r="D483" s="2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21"/>
      <c r="X483" s="21"/>
      <c r="Y483" s="21"/>
      <c r="Z483" s="21"/>
    </row>
    <row r="484" spans="1:26" ht="15.75" customHeight="1">
      <c r="A484" s="17"/>
      <c r="B484" s="18"/>
      <c r="C484" s="19"/>
      <c r="D484" s="2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21"/>
      <c r="X484" s="21"/>
      <c r="Y484" s="21"/>
      <c r="Z484" s="21"/>
    </row>
    <row r="485" spans="1:26" ht="15.75" customHeight="1">
      <c r="A485" s="17"/>
      <c r="B485" s="18"/>
      <c r="C485" s="19"/>
      <c r="D485" s="2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21"/>
      <c r="X485" s="21"/>
      <c r="Y485" s="21"/>
      <c r="Z485" s="21"/>
    </row>
    <row r="486" spans="1:26" ht="15.75" customHeight="1">
      <c r="A486" s="17"/>
      <c r="B486" s="18"/>
      <c r="C486" s="19"/>
      <c r="D486" s="2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21"/>
      <c r="X486" s="21"/>
      <c r="Y486" s="21"/>
      <c r="Z486" s="21"/>
    </row>
    <row r="487" spans="1:26" ht="15.75" customHeight="1">
      <c r="A487" s="17"/>
      <c r="B487" s="18"/>
      <c r="C487" s="19"/>
      <c r="D487" s="2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21"/>
      <c r="X487" s="21"/>
      <c r="Y487" s="21"/>
      <c r="Z487" s="21"/>
    </row>
    <row r="488" spans="1:26" ht="15.75" customHeight="1">
      <c r="A488" s="17"/>
      <c r="B488" s="18"/>
      <c r="C488" s="19"/>
      <c r="D488" s="2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21"/>
      <c r="X488" s="21"/>
      <c r="Y488" s="21"/>
      <c r="Z488" s="21"/>
    </row>
    <row r="489" spans="1:26" ht="15.75" customHeight="1">
      <c r="A489" s="17"/>
      <c r="B489" s="18"/>
      <c r="C489" s="19"/>
      <c r="D489" s="2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21"/>
      <c r="X489" s="21"/>
      <c r="Y489" s="21"/>
      <c r="Z489" s="21"/>
    </row>
    <row r="490" spans="1:26" ht="15.75" customHeight="1">
      <c r="A490" s="17"/>
      <c r="B490" s="18"/>
      <c r="C490" s="19"/>
      <c r="D490" s="2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21"/>
      <c r="X490" s="21"/>
      <c r="Y490" s="21"/>
      <c r="Z490" s="21"/>
    </row>
    <row r="491" spans="1:26" ht="15.75" customHeight="1">
      <c r="A491" s="17"/>
      <c r="B491" s="18"/>
      <c r="C491" s="19"/>
      <c r="D491" s="2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21"/>
      <c r="X491" s="21"/>
      <c r="Y491" s="21"/>
      <c r="Z491" s="21"/>
    </row>
    <row r="492" spans="1:26" ht="15.75" customHeight="1">
      <c r="A492" s="17"/>
      <c r="B492" s="18"/>
      <c r="C492" s="19"/>
      <c r="D492" s="2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21"/>
      <c r="X492" s="21"/>
      <c r="Y492" s="21"/>
      <c r="Z492" s="21"/>
    </row>
    <row r="493" spans="1:26" ht="15.75" customHeight="1">
      <c r="A493" s="17"/>
      <c r="B493" s="18"/>
      <c r="C493" s="19"/>
      <c r="D493" s="2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21"/>
      <c r="X493" s="21"/>
      <c r="Y493" s="21"/>
      <c r="Z493" s="21"/>
    </row>
    <row r="494" spans="1:26" ht="15.75" customHeight="1">
      <c r="A494" s="17"/>
      <c r="B494" s="18"/>
      <c r="C494" s="19"/>
      <c r="D494" s="2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21"/>
      <c r="X494" s="21"/>
      <c r="Y494" s="21"/>
      <c r="Z494" s="21"/>
    </row>
    <row r="495" spans="1:26" ht="15.75" customHeight="1">
      <c r="A495" s="17"/>
      <c r="B495" s="18"/>
      <c r="C495" s="19"/>
      <c r="D495" s="2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21"/>
      <c r="X495" s="21"/>
      <c r="Y495" s="21"/>
      <c r="Z495" s="21"/>
    </row>
    <row r="496" spans="1:26" ht="15.75" customHeight="1">
      <c r="A496" s="17"/>
      <c r="B496" s="18"/>
      <c r="C496" s="19"/>
      <c r="D496" s="2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21"/>
      <c r="X496" s="21"/>
      <c r="Y496" s="21"/>
      <c r="Z496" s="21"/>
    </row>
    <row r="497" spans="1:26" ht="15.75" customHeight="1">
      <c r="A497" s="17"/>
      <c r="B497" s="18"/>
      <c r="C497" s="19"/>
      <c r="D497" s="2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21"/>
      <c r="X497" s="21"/>
      <c r="Y497" s="21"/>
      <c r="Z497" s="21"/>
    </row>
    <row r="498" spans="1:26" ht="15.75" customHeight="1">
      <c r="A498" s="17"/>
      <c r="B498" s="18"/>
      <c r="C498" s="19"/>
      <c r="D498" s="2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21"/>
      <c r="X498" s="21"/>
      <c r="Y498" s="21"/>
      <c r="Z498" s="21"/>
    </row>
    <row r="499" spans="1:26" ht="15.75" customHeight="1">
      <c r="A499" s="17"/>
      <c r="B499" s="18"/>
      <c r="C499" s="19"/>
      <c r="D499" s="2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21"/>
      <c r="X499" s="21"/>
      <c r="Y499" s="21"/>
      <c r="Z499" s="21"/>
    </row>
    <row r="500" spans="1:26" ht="15.75" customHeight="1">
      <c r="A500" s="17"/>
      <c r="B500" s="18"/>
      <c r="C500" s="19"/>
      <c r="D500" s="2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21"/>
      <c r="X500" s="21"/>
      <c r="Y500" s="21"/>
      <c r="Z500" s="21"/>
    </row>
    <row r="501" spans="1:26" ht="15.75" customHeight="1">
      <c r="A501" s="17"/>
      <c r="B501" s="18"/>
      <c r="C501" s="19"/>
      <c r="D501" s="2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21"/>
      <c r="X501" s="21"/>
      <c r="Y501" s="21"/>
      <c r="Z501" s="21"/>
    </row>
    <row r="502" spans="1:26" ht="15.75" customHeight="1">
      <c r="A502" s="17"/>
      <c r="B502" s="18"/>
      <c r="C502" s="19"/>
      <c r="D502" s="2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21"/>
      <c r="X502" s="21"/>
      <c r="Y502" s="21"/>
      <c r="Z502" s="21"/>
    </row>
    <row r="503" spans="1:26" ht="15.75" customHeight="1">
      <c r="A503" s="17"/>
      <c r="B503" s="18"/>
      <c r="C503" s="19"/>
      <c r="D503" s="2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21"/>
      <c r="X503" s="21"/>
      <c r="Y503" s="21"/>
      <c r="Z503" s="21"/>
    </row>
    <row r="504" spans="1:26" ht="15.75" customHeight="1">
      <c r="A504" s="17"/>
      <c r="B504" s="18"/>
      <c r="C504" s="19"/>
      <c r="D504" s="2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21"/>
      <c r="X504" s="21"/>
      <c r="Y504" s="21"/>
      <c r="Z504" s="21"/>
    </row>
    <row r="505" spans="1:26" ht="15.75" customHeight="1">
      <c r="A505" s="17"/>
      <c r="B505" s="18"/>
      <c r="C505" s="19"/>
      <c r="D505" s="2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21"/>
      <c r="X505" s="21"/>
      <c r="Y505" s="21"/>
      <c r="Z505" s="21"/>
    </row>
    <row r="506" spans="1:26" ht="15.75" customHeight="1">
      <c r="A506" s="17"/>
      <c r="B506" s="18"/>
      <c r="C506" s="19"/>
      <c r="D506" s="2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21"/>
      <c r="X506" s="21"/>
      <c r="Y506" s="21"/>
      <c r="Z506" s="21"/>
    </row>
    <row r="507" spans="1:26" ht="15.75" customHeight="1">
      <c r="A507" s="17"/>
      <c r="B507" s="18"/>
      <c r="C507" s="19"/>
      <c r="D507" s="2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21"/>
      <c r="X507" s="21"/>
      <c r="Y507" s="21"/>
      <c r="Z507" s="21"/>
    </row>
    <row r="508" spans="1:26" ht="15.75" customHeight="1">
      <c r="A508" s="17"/>
      <c r="B508" s="18"/>
      <c r="C508" s="19"/>
      <c r="D508" s="2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21"/>
      <c r="X508" s="21"/>
      <c r="Y508" s="21"/>
      <c r="Z508" s="21"/>
    </row>
    <row r="509" spans="1:26" ht="15.75" customHeight="1">
      <c r="A509" s="17"/>
      <c r="B509" s="18"/>
      <c r="C509" s="19"/>
      <c r="D509" s="2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21"/>
      <c r="X509" s="21"/>
      <c r="Y509" s="21"/>
      <c r="Z509" s="21"/>
    </row>
    <row r="510" spans="1:26" ht="15.75" customHeight="1">
      <c r="A510" s="17"/>
      <c r="B510" s="18"/>
      <c r="C510" s="19"/>
      <c r="D510" s="2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21"/>
      <c r="X510" s="21"/>
      <c r="Y510" s="21"/>
      <c r="Z510" s="21"/>
    </row>
    <row r="511" spans="1:26" ht="15.75" customHeight="1">
      <c r="A511" s="17"/>
      <c r="B511" s="18"/>
      <c r="C511" s="19"/>
      <c r="D511" s="2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21"/>
      <c r="X511" s="21"/>
      <c r="Y511" s="21"/>
      <c r="Z511" s="21"/>
    </row>
    <row r="512" spans="1:26" ht="15.75" customHeight="1">
      <c r="A512" s="17"/>
      <c r="B512" s="18"/>
      <c r="C512" s="19"/>
      <c r="D512" s="2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21"/>
      <c r="X512" s="21"/>
      <c r="Y512" s="21"/>
      <c r="Z512" s="21"/>
    </row>
    <row r="513" spans="1:26" ht="15.75" customHeight="1">
      <c r="A513" s="17"/>
      <c r="B513" s="18"/>
      <c r="C513" s="19"/>
      <c r="D513" s="2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21"/>
      <c r="X513" s="21"/>
      <c r="Y513" s="21"/>
      <c r="Z513" s="21"/>
    </row>
    <row r="514" spans="1:26" ht="15.75" customHeight="1">
      <c r="A514" s="17"/>
      <c r="B514" s="18"/>
      <c r="C514" s="19"/>
      <c r="D514" s="2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21"/>
      <c r="X514" s="21"/>
      <c r="Y514" s="21"/>
      <c r="Z514" s="21"/>
    </row>
    <row r="515" spans="1:26" ht="15.75" customHeight="1">
      <c r="A515" s="17"/>
      <c r="B515" s="18"/>
      <c r="C515" s="19"/>
      <c r="D515" s="2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21"/>
      <c r="X515" s="21"/>
      <c r="Y515" s="21"/>
      <c r="Z515" s="21"/>
    </row>
    <row r="516" spans="1:26" ht="15.75" customHeight="1">
      <c r="A516" s="17"/>
      <c r="B516" s="18"/>
      <c r="C516" s="19"/>
      <c r="D516" s="2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21"/>
      <c r="X516" s="21"/>
      <c r="Y516" s="21"/>
      <c r="Z516" s="21"/>
    </row>
    <row r="517" spans="1:26" ht="15.75" customHeight="1">
      <c r="A517" s="17"/>
      <c r="B517" s="18"/>
      <c r="C517" s="19"/>
      <c r="D517" s="2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21"/>
      <c r="X517" s="21"/>
      <c r="Y517" s="21"/>
      <c r="Z517" s="21"/>
    </row>
    <row r="518" spans="1:26" ht="15.75" customHeight="1">
      <c r="A518" s="17"/>
      <c r="B518" s="18"/>
      <c r="C518" s="19"/>
      <c r="D518" s="2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21"/>
      <c r="X518" s="21"/>
      <c r="Y518" s="21"/>
      <c r="Z518" s="21"/>
    </row>
    <row r="519" spans="1:26" ht="15.75" customHeight="1">
      <c r="A519" s="17"/>
      <c r="B519" s="18"/>
      <c r="C519" s="19"/>
      <c r="D519" s="2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21"/>
      <c r="X519" s="21"/>
      <c r="Y519" s="21"/>
      <c r="Z519" s="21"/>
    </row>
    <row r="520" spans="1:26" ht="15.75" customHeight="1">
      <c r="A520" s="17"/>
      <c r="B520" s="18"/>
      <c r="C520" s="19"/>
      <c r="D520" s="2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21"/>
      <c r="X520" s="21"/>
      <c r="Y520" s="21"/>
      <c r="Z520" s="21"/>
    </row>
    <row r="521" spans="1:26" ht="15.75" customHeight="1">
      <c r="A521" s="17"/>
      <c r="B521" s="18"/>
      <c r="C521" s="19"/>
      <c r="D521" s="2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21"/>
      <c r="X521" s="21"/>
      <c r="Y521" s="21"/>
      <c r="Z521" s="21"/>
    </row>
    <row r="522" spans="1:26" ht="15.75" customHeight="1">
      <c r="A522" s="17"/>
      <c r="B522" s="18"/>
      <c r="C522" s="19"/>
      <c r="D522" s="2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21"/>
      <c r="X522" s="21"/>
      <c r="Y522" s="21"/>
      <c r="Z522" s="21"/>
    </row>
    <row r="523" spans="1:26" ht="15.75" customHeight="1">
      <c r="A523" s="17"/>
      <c r="B523" s="18"/>
      <c r="C523" s="19"/>
      <c r="D523" s="2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21"/>
      <c r="X523" s="21"/>
      <c r="Y523" s="21"/>
      <c r="Z523" s="21"/>
    </row>
    <row r="524" spans="1:26" ht="15.75" customHeight="1">
      <c r="A524" s="17"/>
      <c r="B524" s="18"/>
      <c r="C524" s="19"/>
      <c r="D524" s="2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21"/>
      <c r="X524" s="21"/>
      <c r="Y524" s="21"/>
      <c r="Z524" s="21"/>
    </row>
    <row r="525" spans="1:26" ht="15.75" customHeight="1">
      <c r="A525" s="17"/>
      <c r="B525" s="18"/>
      <c r="C525" s="19"/>
      <c r="D525" s="2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21"/>
      <c r="X525" s="21"/>
      <c r="Y525" s="21"/>
      <c r="Z525" s="21"/>
    </row>
    <row r="526" spans="1:26" ht="15.75" customHeight="1">
      <c r="A526" s="17"/>
      <c r="B526" s="18"/>
      <c r="C526" s="19"/>
      <c r="D526" s="2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21"/>
      <c r="X526" s="21"/>
      <c r="Y526" s="21"/>
      <c r="Z526" s="21"/>
    </row>
    <row r="527" spans="1:26" ht="15.75" customHeight="1">
      <c r="A527" s="17"/>
      <c r="B527" s="18"/>
      <c r="C527" s="19"/>
      <c r="D527" s="2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21"/>
      <c r="X527" s="21"/>
      <c r="Y527" s="21"/>
      <c r="Z527" s="21"/>
    </row>
    <row r="528" spans="1:26" ht="15.75" customHeight="1">
      <c r="A528" s="17"/>
      <c r="B528" s="18"/>
      <c r="C528" s="19"/>
      <c r="D528" s="2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21"/>
      <c r="X528" s="21"/>
      <c r="Y528" s="21"/>
      <c r="Z528" s="21"/>
    </row>
    <row r="529" spans="1:26" ht="15.75" customHeight="1">
      <c r="A529" s="17"/>
      <c r="B529" s="18"/>
      <c r="C529" s="19"/>
      <c r="D529" s="2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21"/>
      <c r="X529" s="21"/>
      <c r="Y529" s="21"/>
      <c r="Z529" s="21"/>
    </row>
    <row r="530" spans="1:26" ht="15.75" customHeight="1">
      <c r="A530" s="17"/>
      <c r="B530" s="18"/>
      <c r="C530" s="19"/>
      <c r="D530" s="2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21"/>
      <c r="X530" s="21"/>
      <c r="Y530" s="21"/>
      <c r="Z530" s="21"/>
    </row>
    <row r="531" spans="1:26" ht="15.75" customHeight="1">
      <c r="A531" s="17"/>
      <c r="B531" s="18"/>
      <c r="C531" s="19"/>
      <c r="D531" s="2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21"/>
      <c r="X531" s="21"/>
      <c r="Y531" s="21"/>
      <c r="Z531" s="21"/>
    </row>
    <row r="532" spans="1:26" ht="15.75" customHeight="1">
      <c r="A532" s="17"/>
      <c r="B532" s="18"/>
      <c r="C532" s="19"/>
      <c r="D532" s="2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21"/>
      <c r="X532" s="21"/>
      <c r="Y532" s="21"/>
      <c r="Z532" s="21"/>
    </row>
    <row r="533" spans="1:26" ht="15.75" customHeight="1">
      <c r="A533" s="17"/>
      <c r="B533" s="18"/>
      <c r="C533" s="19"/>
      <c r="D533" s="2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21"/>
      <c r="X533" s="21"/>
      <c r="Y533" s="21"/>
      <c r="Z533" s="21"/>
    </row>
    <row r="534" spans="1:26" ht="15.75" customHeight="1">
      <c r="A534" s="17"/>
      <c r="B534" s="18"/>
      <c r="C534" s="19"/>
      <c r="D534" s="2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21"/>
      <c r="X534" s="21"/>
      <c r="Y534" s="21"/>
      <c r="Z534" s="21"/>
    </row>
    <row r="535" spans="1:26" ht="15.75" customHeight="1">
      <c r="A535" s="17"/>
      <c r="B535" s="18"/>
      <c r="C535" s="19"/>
      <c r="D535" s="2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21"/>
      <c r="X535" s="21"/>
      <c r="Y535" s="21"/>
      <c r="Z535" s="21"/>
    </row>
    <row r="536" spans="1:26" ht="15.75" customHeight="1">
      <c r="A536" s="17"/>
      <c r="B536" s="18"/>
      <c r="C536" s="19"/>
      <c r="D536" s="2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21"/>
      <c r="X536" s="21"/>
      <c r="Y536" s="21"/>
      <c r="Z536" s="21"/>
    </row>
    <row r="537" spans="1:26" ht="15.75" customHeight="1">
      <c r="A537" s="17"/>
      <c r="B537" s="18"/>
      <c r="C537" s="19"/>
      <c r="D537" s="2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21"/>
      <c r="X537" s="21"/>
      <c r="Y537" s="21"/>
      <c r="Z537" s="21"/>
    </row>
    <row r="538" spans="1:26" ht="15.75" customHeight="1">
      <c r="A538" s="17"/>
      <c r="B538" s="18"/>
      <c r="C538" s="19"/>
      <c r="D538" s="2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21"/>
      <c r="X538" s="21"/>
      <c r="Y538" s="21"/>
      <c r="Z538" s="21"/>
    </row>
    <row r="539" spans="1:26" ht="15.75" customHeight="1">
      <c r="A539" s="17"/>
      <c r="B539" s="18"/>
      <c r="C539" s="19"/>
      <c r="D539" s="2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21"/>
      <c r="X539" s="21"/>
      <c r="Y539" s="21"/>
      <c r="Z539" s="21"/>
    </row>
    <row r="540" spans="1:26" ht="15.75" customHeight="1">
      <c r="A540" s="17"/>
      <c r="B540" s="18"/>
      <c r="C540" s="19"/>
      <c r="D540" s="2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21"/>
      <c r="X540" s="21"/>
      <c r="Y540" s="21"/>
      <c r="Z540" s="21"/>
    </row>
    <row r="541" spans="1:26" ht="15.75" customHeight="1">
      <c r="A541" s="17"/>
      <c r="B541" s="18"/>
      <c r="C541" s="19"/>
      <c r="D541" s="2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21"/>
      <c r="X541" s="21"/>
      <c r="Y541" s="21"/>
      <c r="Z541" s="21"/>
    </row>
    <row r="542" spans="1:26" ht="15.75" customHeight="1">
      <c r="A542" s="17"/>
      <c r="B542" s="18"/>
      <c r="C542" s="19"/>
      <c r="D542" s="2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21"/>
      <c r="X542" s="21"/>
      <c r="Y542" s="21"/>
      <c r="Z542" s="21"/>
    </row>
    <row r="543" spans="1:26" ht="15.75" customHeight="1">
      <c r="A543" s="17"/>
      <c r="B543" s="18"/>
      <c r="C543" s="19"/>
      <c r="D543" s="2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21"/>
      <c r="X543" s="21"/>
      <c r="Y543" s="21"/>
      <c r="Z543" s="21"/>
    </row>
    <row r="544" spans="1:26" ht="15.75" customHeight="1">
      <c r="A544" s="17"/>
      <c r="B544" s="18"/>
      <c r="C544" s="19"/>
      <c r="D544" s="2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21"/>
      <c r="X544" s="21"/>
      <c r="Y544" s="21"/>
      <c r="Z544" s="21"/>
    </row>
    <row r="545" spans="1:26" ht="15.75" customHeight="1">
      <c r="A545" s="17"/>
      <c r="B545" s="18"/>
      <c r="C545" s="19"/>
      <c r="D545" s="2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21"/>
      <c r="X545" s="21"/>
      <c r="Y545" s="21"/>
      <c r="Z545" s="21"/>
    </row>
    <row r="546" spans="1:26" ht="15.75" customHeight="1">
      <c r="A546" s="17"/>
      <c r="B546" s="18"/>
      <c r="C546" s="19"/>
      <c r="D546" s="2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21"/>
      <c r="X546" s="21"/>
      <c r="Y546" s="21"/>
      <c r="Z546" s="21"/>
    </row>
    <row r="547" spans="1:26" ht="15.75" customHeight="1">
      <c r="A547" s="17"/>
      <c r="B547" s="18"/>
      <c r="C547" s="19"/>
      <c r="D547" s="2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21"/>
      <c r="X547" s="21"/>
      <c r="Y547" s="21"/>
      <c r="Z547" s="21"/>
    </row>
    <row r="548" spans="1:26" ht="15.75" customHeight="1">
      <c r="A548" s="17"/>
      <c r="B548" s="18"/>
      <c r="C548" s="19"/>
      <c r="D548" s="2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21"/>
      <c r="X548" s="21"/>
      <c r="Y548" s="21"/>
      <c r="Z548" s="21"/>
    </row>
    <row r="549" spans="1:26" ht="15.75" customHeight="1">
      <c r="A549" s="17"/>
      <c r="B549" s="18"/>
      <c r="C549" s="19"/>
      <c r="D549" s="2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21"/>
      <c r="X549" s="21"/>
      <c r="Y549" s="21"/>
      <c r="Z549" s="21"/>
    </row>
    <row r="550" spans="1:26" ht="15.75" customHeight="1">
      <c r="A550" s="17"/>
      <c r="B550" s="18"/>
      <c r="C550" s="19"/>
      <c r="D550" s="2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21"/>
      <c r="X550" s="21"/>
      <c r="Y550" s="21"/>
      <c r="Z550" s="21"/>
    </row>
    <row r="551" spans="1:26" ht="15.75" customHeight="1">
      <c r="A551" s="17"/>
      <c r="B551" s="18"/>
      <c r="C551" s="19"/>
      <c r="D551" s="2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21"/>
      <c r="X551" s="21"/>
      <c r="Y551" s="21"/>
      <c r="Z551" s="21"/>
    </row>
    <row r="552" spans="1:26" ht="15.75" customHeight="1">
      <c r="A552" s="17"/>
      <c r="B552" s="18"/>
      <c r="C552" s="19"/>
      <c r="D552" s="2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21"/>
      <c r="X552" s="21"/>
      <c r="Y552" s="21"/>
      <c r="Z552" s="21"/>
    </row>
    <row r="553" spans="1:26" ht="15.75" customHeight="1">
      <c r="A553" s="17"/>
      <c r="B553" s="18"/>
      <c r="C553" s="19"/>
      <c r="D553" s="2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21"/>
      <c r="X553" s="21"/>
      <c r="Y553" s="21"/>
      <c r="Z553" s="21"/>
    </row>
    <row r="554" spans="1:26" ht="15.75" customHeight="1">
      <c r="A554" s="17"/>
      <c r="B554" s="18"/>
      <c r="C554" s="19"/>
      <c r="D554" s="2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21"/>
      <c r="X554" s="21"/>
      <c r="Y554" s="21"/>
      <c r="Z554" s="21"/>
    </row>
    <row r="555" spans="1:26" ht="15.75" customHeight="1">
      <c r="A555" s="17"/>
      <c r="B555" s="18"/>
      <c r="C555" s="19"/>
      <c r="D555" s="2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21"/>
      <c r="X555" s="21"/>
      <c r="Y555" s="21"/>
      <c r="Z555" s="21"/>
    </row>
    <row r="556" spans="1:26" ht="15.75" customHeight="1">
      <c r="A556" s="17"/>
      <c r="B556" s="18"/>
      <c r="C556" s="19"/>
      <c r="D556" s="2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21"/>
      <c r="X556" s="21"/>
      <c r="Y556" s="21"/>
      <c r="Z556" s="21"/>
    </row>
    <row r="557" spans="1:26" ht="15.75" customHeight="1">
      <c r="A557" s="17"/>
      <c r="B557" s="18"/>
      <c r="C557" s="19"/>
      <c r="D557" s="2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21"/>
      <c r="X557" s="21"/>
      <c r="Y557" s="21"/>
      <c r="Z557" s="21"/>
    </row>
    <row r="558" spans="1:26" ht="15.75" customHeight="1">
      <c r="A558" s="17"/>
      <c r="B558" s="18"/>
      <c r="C558" s="19"/>
      <c r="D558" s="2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21"/>
      <c r="X558" s="21"/>
      <c r="Y558" s="21"/>
      <c r="Z558" s="21"/>
    </row>
    <row r="559" spans="1:26" ht="15.75" customHeight="1">
      <c r="A559" s="17"/>
      <c r="B559" s="18"/>
      <c r="C559" s="19"/>
      <c r="D559" s="2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21"/>
      <c r="X559" s="21"/>
      <c r="Y559" s="21"/>
      <c r="Z559" s="21"/>
    </row>
    <row r="560" spans="1:26" ht="15.75" customHeight="1">
      <c r="A560" s="17"/>
      <c r="B560" s="18"/>
      <c r="C560" s="19"/>
      <c r="D560" s="2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21"/>
      <c r="X560" s="21"/>
      <c r="Y560" s="21"/>
      <c r="Z560" s="21"/>
    </row>
    <row r="561" spans="1:26" ht="15.75" customHeight="1">
      <c r="A561" s="17"/>
      <c r="B561" s="18"/>
      <c r="C561" s="19"/>
      <c r="D561" s="2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21"/>
      <c r="X561" s="21"/>
      <c r="Y561" s="21"/>
      <c r="Z561" s="21"/>
    </row>
    <row r="562" spans="1:26" ht="15.75" customHeight="1">
      <c r="A562" s="17"/>
      <c r="B562" s="18"/>
      <c r="C562" s="19"/>
      <c r="D562" s="2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21"/>
      <c r="X562" s="21"/>
      <c r="Y562" s="21"/>
      <c r="Z562" s="21"/>
    </row>
    <row r="563" spans="1:26" ht="15.75" customHeight="1">
      <c r="A563" s="17"/>
      <c r="B563" s="18"/>
      <c r="C563" s="19"/>
      <c r="D563" s="2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21"/>
      <c r="X563" s="21"/>
      <c r="Y563" s="21"/>
      <c r="Z563" s="21"/>
    </row>
    <row r="564" spans="1:26" ht="15.75" customHeight="1">
      <c r="A564" s="17"/>
      <c r="B564" s="18"/>
      <c r="C564" s="19"/>
      <c r="D564" s="2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21"/>
      <c r="X564" s="21"/>
      <c r="Y564" s="21"/>
      <c r="Z564" s="21"/>
    </row>
    <row r="565" spans="1:26" ht="15.75" customHeight="1">
      <c r="A565" s="17"/>
      <c r="B565" s="18"/>
      <c r="C565" s="19"/>
      <c r="D565" s="2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21"/>
      <c r="X565" s="21"/>
      <c r="Y565" s="21"/>
      <c r="Z565" s="21"/>
    </row>
    <row r="566" spans="1:26" ht="15.75" customHeight="1">
      <c r="A566" s="17"/>
      <c r="B566" s="18"/>
      <c r="C566" s="19"/>
      <c r="D566" s="2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21"/>
      <c r="X566" s="21"/>
      <c r="Y566" s="21"/>
      <c r="Z566" s="21"/>
    </row>
    <row r="567" spans="1:26" ht="15.75" customHeight="1">
      <c r="A567" s="17"/>
      <c r="B567" s="18"/>
      <c r="C567" s="19"/>
      <c r="D567" s="2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21"/>
      <c r="X567" s="21"/>
      <c r="Y567" s="21"/>
      <c r="Z567" s="21"/>
    </row>
    <row r="568" spans="1:26" ht="15.75" customHeight="1">
      <c r="A568" s="17"/>
      <c r="B568" s="18"/>
      <c r="C568" s="19"/>
      <c r="D568" s="2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21"/>
      <c r="X568" s="21"/>
      <c r="Y568" s="21"/>
      <c r="Z568" s="21"/>
    </row>
    <row r="569" spans="1:26" ht="15.75" customHeight="1">
      <c r="A569" s="17"/>
      <c r="B569" s="18"/>
      <c r="C569" s="19"/>
      <c r="D569" s="2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21"/>
      <c r="X569" s="21"/>
      <c r="Y569" s="21"/>
      <c r="Z569" s="21"/>
    </row>
    <row r="570" spans="1:26" ht="15.75" customHeight="1">
      <c r="A570" s="17"/>
      <c r="B570" s="18"/>
      <c r="C570" s="19"/>
      <c r="D570" s="2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21"/>
      <c r="X570" s="21"/>
      <c r="Y570" s="21"/>
      <c r="Z570" s="21"/>
    </row>
    <row r="571" spans="1:26" ht="15.75" customHeight="1">
      <c r="A571" s="17"/>
      <c r="B571" s="18"/>
      <c r="C571" s="19"/>
      <c r="D571" s="2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21"/>
      <c r="X571" s="21"/>
      <c r="Y571" s="21"/>
      <c r="Z571" s="21"/>
    </row>
    <row r="572" spans="1:26" ht="15.75" customHeight="1">
      <c r="A572" s="17"/>
      <c r="B572" s="18"/>
      <c r="C572" s="19"/>
      <c r="D572" s="2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21"/>
      <c r="X572" s="21"/>
      <c r="Y572" s="21"/>
      <c r="Z572" s="21"/>
    </row>
    <row r="573" spans="1:26" ht="15.75" customHeight="1">
      <c r="A573" s="17"/>
      <c r="B573" s="18"/>
      <c r="C573" s="19"/>
      <c r="D573" s="2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21"/>
      <c r="X573" s="21"/>
      <c r="Y573" s="21"/>
      <c r="Z573" s="21"/>
    </row>
    <row r="574" spans="1:26" ht="15.75" customHeight="1">
      <c r="A574" s="17"/>
      <c r="B574" s="18"/>
      <c r="C574" s="19"/>
      <c r="D574" s="2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21"/>
      <c r="X574" s="21"/>
      <c r="Y574" s="21"/>
      <c r="Z574" s="21"/>
    </row>
    <row r="575" spans="1:26" ht="15.75" customHeight="1">
      <c r="A575" s="17"/>
      <c r="B575" s="18"/>
      <c r="C575" s="19"/>
      <c r="D575" s="2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21"/>
      <c r="X575" s="21"/>
      <c r="Y575" s="21"/>
      <c r="Z575" s="21"/>
    </row>
    <row r="576" spans="1:26" ht="15.75" customHeight="1">
      <c r="A576" s="17"/>
      <c r="B576" s="18"/>
      <c r="C576" s="19"/>
      <c r="D576" s="2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21"/>
      <c r="X576" s="21"/>
      <c r="Y576" s="21"/>
      <c r="Z576" s="21"/>
    </row>
    <row r="577" spans="1:26" ht="15.75" customHeight="1">
      <c r="A577" s="17"/>
      <c r="B577" s="18"/>
      <c r="C577" s="19"/>
      <c r="D577" s="2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21"/>
      <c r="X577" s="21"/>
      <c r="Y577" s="21"/>
      <c r="Z577" s="21"/>
    </row>
    <row r="578" spans="1:26" ht="15.75" customHeight="1">
      <c r="A578" s="17"/>
      <c r="B578" s="18"/>
      <c r="C578" s="19"/>
      <c r="D578" s="2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21"/>
      <c r="X578" s="21"/>
      <c r="Y578" s="21"/>
      <c r="Z578" s="21"/>
    </row>
    <row r="579" spans="1:26" ht="15.75" customHeight="1">
      <c r="A579" s="17"/>
      <c r="B579" s="18"/>
      <c r="C579" s="19"/>
      <c r="D579" s="2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21"/>
      <c r="X579" s="21"/>
      <c r="Y579" s="21"/>
      <c r="Z579" s="21"/>
    </row>
    <row r="580" spans="1:26" ht="15.75" customHeight="1">
      <c r="A580" s="17"/>
      <c r="B580" s="18"/>
      <c r="C580" s="19"/>
      <c r="D580" s="2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21"/>
      <c r="X580" s="21"/>
      <c r="Y580" s="21"/>
      <c r="Z580" s="21"/>
    </row>
    <row r="581" spans="1:26" ht="15.75" customHeight="1">
      <c r="A581" s="17"/>
      <c r="B581" s="18"/>
      <c r="C581" s="19"/>
      <c r="D581" s="2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21"/>
      <c r="X581" s="21"/>
      <c r="Y581" s="21"/>
      <c r="Z581" s="21"/>
    </row>
    <row r="582" spans="1:26" ht="15.75" customHeight="1">
      <c r="A582" s="17"/>
      <c r="B582" s="18"/>
      <c r="C582" s="19"/>
      <c r="D582" s="2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21"/>
      <c r="X582" s="21"/>
      <c r="Y582" s="21"/>
      <c r="Z582" s="21"/>
    </row>
    <row r="583" spans="1:26" ht="15.75" customHeight="1">
      <c r="A583" s="17"/>
      <c r="B583" s="18"/>
      <c r="C583" s="19"/>
      <c r="D583" s="2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21"/>
      <c r="X583" s="21"/>
      <c r="Y583" s="21"/>
      <c r="Z583" s="21"/>
    </row>
    <row r="584" spans="1:26" ht="15.75" customHeight="1">
      <c r="A584" s="17"/>
      <c r="B584" s="18"/>
      <c r="C584" s="19"/>
      <c r="D584" s="2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21"/>
      <c r="X584" s="21"/>
      <c r="Y584" s="21"/>
      <c r="Z584" s="21"/>
    </row>
    <row r="585" spans="1:26" ht="15.75" customHeight="1">
      <c r="A585" s="17"/>
      <c r="B585" s="18"/>
      <c r="C585" s="19"/>
      <c r="D585" s="2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21"/>
      <c r="X585" s="21"/>
      <c r="Y585" s="21"/>
      <c r="Z585" s="21"/>
    </row>
    <row r="586" spans="1:26" ht="15.75" customHeight="1">
      <c r="A586" s="17"/>
      <c r="B586" s="18"/>
      <c r="C586" s="19"/>
      <c r="D586" s="2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21"/>
      <c r="X586" s="21"/>
      <c r="Y586" s="21"/>
      <c r="Z586" s="21"/>
    </row>
    <row r="587" spans="1:26" ht="15.75" customHeight="1">
      <c r="A587" s="17"/>
      <c r="B587" s="18"/>
      <c r="C587" s="19"/>
      <c r="D587" s="2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21"/>
      <c r="X587" s="21"/>
      <c r="Y587" s="21"/>
      <c r="Z587" s="21"/>
    </row>
    <row r="588" spans="1:26" ht="15.75" customHeight="1">
      <c r="A588" s="17"/>
      <c r="B588" s="18"/>
      <c r="C588" s="19"/>
      <c r="D588" s="2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21"/>
      <c r="X588" s="21"/>
      <c r="Y588" s="21"/>
      <c r="Z588" s="21"/>
    </row>
    <row r="589" spans="1:26" ht="15.75" customHeight="1">
      <c r="A589" s="17"/>
      <c r="B589" s="18"/>
      <c r="C589" s="19"/>
      <c r="D589" s="2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21"/>
      <c r="X589" s="21"/>
      <c r="Y589" s="21"/>
      <c r="Z589" s="21"/>
    </row>
    <row r="590" spans="1:26" ht="15.75" customHeight="1">
      <c r="A590" s="17"/>
      <c r="B590" s="18"/>
      <c r="C590" s="19"/>
      <c r="D590" s="2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21"/>
      <c r="X590" s="21"/>
      <c r="Y590" s="21"/>
      <c r="Z590" s="21"/>
    </row>
    <row r="591" spans="1:26" ht="15.75" customHeight="1">
      <c r="A591" s="17"/>
      <c r="B591" s="18"/>
      <c r="C591" s="19"/>
      <c r="D591" s="2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21"/>
      <c r="X591" s="21"/>
      <c r="Y591" s="21"/>
      <c r="Z591" s="21"/>
    </row>
    <row r="592" spans="1:26" ht="15.75" customHeight="1">
      <c r="A592" s="17"/>
      <c r="B592" s="18"/>
      <c r="C592" s="19"/>
      <c r="D592" s="2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21"/>
      <c r="X592" s="21"/>
      <c r="Y592" s="21"/>
      <c r="Z592" s="21"/>
    </row>
    <row r="593" spans="1:26" ht="15.75" customHeight="1">
      <c r="A593" s="17"/>
      <c r="B593" s="18"/>
      <c r="C593" s="19"/>
      <c r="D593" s="2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21"/>
      <c r="X593" s="21"/>
      <c r="Y593" s="21"/>
      <c r="Z593" s="21"/>
    </row>
    <row r="594" spans="1:26" ht="15.75" customHeight="1">
      <c r="A594" s="17"/>
      <c r="B594" s="18"/>
      <c r="C594" s="19"/>
      <c r="D594" s="2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21"/>
      <c r="X594" s="21"/>
      <c r="Y594" s="21"/>
      <c r="Z594" s="21"/>
    </row>
    <row r="595" spans="1:26" ht="15.75" customHeight="1">
      <c r="A595" s="17"/>
      <c r="B595" s="18"/>
      <c r="C595" s="19"/>
      <c r="D595" s="2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21"/>
      <c r="X595" s="21"/>
      <c r="Y595" s="21"/>
      <c r="Z595" s="21"/>
    </row>
    <row r="596" spans="1:26" ht="15.75" customHeight="1">
      <c r="A596" s="17"/>
      <c r="B596" s="18"/>
      <c r="C596" s="19"/>
      <c r="D596" s="2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21"/>
      <c r="X596" s="21"/>
      <c r="Y596" s="21"/>
      <c r="Z596" s="21"/>
    </row>
    <row r="597" spans="1:26" ht="15.75" customHeight="1">
      <c r="A597" s="17"/>
      <c r="B597" s="18"/>
      <c r="C597" s="19"/>
      <c r="D597" s="2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21"/>
      <c r="X597" s="21"/>
      <c r="Y597" s="21"/>
      <c r="Z597" s="21"/>
    </row>
    <row r="598" spans="1:26" ht="15.75" customHeight="1">
      <c r="A598" s="17"/>
      <c r="B598" s="18"/>
      <c r="C598" s="19"/>
      <c r="D598" s="2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21"/>
      <c r="X598" s="21"/>
      <c r="Y598" s="21"/>
      <c r="Z598" s="21"/>
    </row>
    <row r="599" spans="1:26" ht="15.75" customHeight="1">
      <c r="A599" s="17"/>
      <c r="B599" s="18"/>
      <c r="C599" s="19"/>
      <c r="D599" s="2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21"/>
      <c r="X599" s="21"/>
      <c r="Y599" s="21"/>
      <c r="Z599" s="21"/>
    </row>
    <row r="600" spans="1:26" ht="15.75" customHeight="1">
      <c r="A600" s="17"/>
      <c r="B600" s="18"/>
      <c r="C600" s="19"/>
      <c r="D600" s="2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21"/>
      <c r="X600" s="21"/>
      <c r="Y600" s="21"/>
      <c r="Z600" s="21"/>
    </row>
    <row r="601" spans="1:26" ht="15.75" customHeight="1">
      <c r="A601" s="17"/>
      <c r="B601" s="18"/>
      <c r="C601" s="19"/>
      <c r="D601" s="2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21"/>
      <c r="X601" s="21"/>
      <c r="Y601" s="21"/>
      <c r="Z601" s="21"/>
    </row>
    <row r="602" spans="1:26" ht="15.75" customHeight="1">
      <c r="A602" s="17"/>
      <c r="B602" s="18"/>
      <c r="C602" s="19"/>
      <c r="D602" s="2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21"/>
      <c r="X602" s="21"/>
      <c r="Y602" s="21"/>
      <c r="Z602" s="21"/>
    </row>
    <row r="603" spans="1:26" ht="15.75" customHeight="1">
      <c r="A603" s="17"/>
      <c r="B603" s="18"/>
      <c r="C603" s="19"/>
      <c r="D603" s="2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21"/>
      <c r="X603" s="21"/>
      <c r="Y603" s="21"/>
      <c r="Z603" s="21"/>
    </row>
    <row r="604" spans="1:26" ht="15.75" customHeight="1">
      <c r="A604" s="17"/>
      <c r="B604" s="18"/>
      <c r="C604" s="19"/>
      <c r="D604" s="2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21"/>
      <c r="X604" s="21"/>
      <c r="Y604" s="21"/>
      <c r="Z604" s="21"/>
    </row>
    <row r="605" spans="1:26" ht="15.75" customHeight="1">
      <c r="A605" s="17"/>
      <c r="B605" s="18"/>
      <c r="C605" s="19"/>
      <c r="D605" s="2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21"/>
      <c r="X605" s="21"/>
      <c r="Y605" s="21"/>
      <c r="Z605" s="21"/>
    </row>
    <row r="606" spans="1:26" ht="15.75" customHeight="1">
      <c r="A606" s="17"/>
      <c r="B606" s="18"/>
      <c r="C606" s="19"/>
      <c r="D606" s="2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21"/>
      <c r="X606" s="21"/>
      <c r="Y606" s="21"/>
      <c r="Z606" s="21"/>
    </row>
    <row r="607" spans="1:26" ht="15.75" customHeight="1">
      <c r="A607" s="17"/>
      <c r="B607" s="18"/>
      <c r="C607" s="19"/>
      <c r="D607" s="2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21"/>
      <c r="X607" s="21"/>
      <c r="Y607" s="21"/>
      <c r="Z607" s="21"/>
    </row>
    <row r="608" spans="1:26" ht="15.75" customHeight="1">
      <c r="A608" s="17"/>
      <c r="B608" s="18"/>
      <c r="C608" s="19"/>
      <c r="D608" s="2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21"/>
      <c r="X608" s="21"/>
      <c r="Y608" s="21"/>
      <c r="Z608" s="21"/>
    </row>
    <row r="609" spans="1:26" ht="15.75" customHeight="1">
      <c r="A609" s="17"/>
      <c r="B609" s="18"/>
      <c r="C609" s="19"/>
      <c r="D609" s="2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21"/>
      <c r="X609" s="21"/>
      <c r="Y609" s="21"/>
      <c r="Z609" s="21"/>
    </row>
    <row r="610" spans="1:26" ht="15.75" customHeight="1">
      <c r="A610" s="17"/>
      <c r="B610" s="18"/>
      <c r="C610" s="19"/>
      <c r="D610" s="2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21"/>
      <c r="X610" s="21"/>
      <c r="Y610" s="21"/>
      <c r="Z610" s="21"/>
    </row>
    <row r="611" spans="1:26" ht="15.75" customHeight="1">
      <c r="A611" s="17"/>
      <c r="B611" s="18"/>
      <c r="C611" s="19"/>
      <c r="D611" s="2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21"/>
      <c r="X611" s="21"/>
      <c r="Y611" s="21"/>
      <c r="Z611" s="21"/>
    </row>
    <row r="612" spans="1:26" ht="15.75" customHeight="1">
      <c r="A612" s="17"/>
      <c r="B612" s="18"/>
      <c r="C612" s="19"/>
      <c r="D612" s="2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21"/>
      <c r="X612" s="21"/>
      <c r="Y612" s="21"/>
      <c r="Z612" s="21"/>
    </row>
    <row r="613" spans="1:26" ht="15.75" customHeight="1">
      <c r="A613" s="17"/>
      <c r="B613" s="18"/>
      <c r="C613" s="19"/>
      <c r="D613" s="2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21"/>
      <c r="X613" s="21"/>
      <c r="Y613" s="21"/>
      <c r="Z613" s="21"/>
    </row>
    <row r="614" spans="1:26" ht="15.75" customHeight="1">
      <c r="A614" s="17"/>
      <c r="B614" s="18"/>
      <c r="C614" s="19"/>
      <c r="D614" s="2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21"/>
      <c r="X614" s="21"/>
      <c r="Y614" s="21"/>
      <c r="Z614" s="21"/>
    </row>
    <row r="615" spans="1:26" ht="15.75" customHeight="1">
      <c r="A615" s="17"/>
      <c r="B615" s="18"/>
      <c r="C615" s="19"/>
      <c r="D615" s="2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21"/>
      <c r="X615" s="21"/>
      <c r="Y615" s="21"/>
      <c r="Z615" s="21"/>
    </row>
    <row r="616" spans="1:26" ht="15.75" customHeight="1">
      <c r="A616" s="17"/>
      <c r="B616" s="18"/>
      <c r="C616" s="19"/>
      <c r="D616" s="2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21"/>
      <c r="X616" s="21"/>
      <c r="Y616" s="21"/>
      <c r="Z616" s="21"/>
    </row>
    <row r="617" spans="1:26" ht="15.75" customHeight="1">
      <c r="A617" s="17"/>
      <c r="B617" s="18"/>
      <c r="C617" s="19"/>
      <c r="D617" s="2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21"/>
      <c r="X617" s="21"/>
      <c r="Y617" s="21"/>
      <c r="Z617" s="21"/>
    </row>
    <row r="618" spans="1:26" ht="15.75" customHeight="1">
      <c r="A618" s="17"/>
      <c r="B618" s="18"/>
      <c r="C618" s="19"/>
      <c r="D618" s="2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21"/>
      <c r="X618" s="21"/>
      <c r="Y618" s="21"/>
      <c r="Z618" s="21"/>
    </row>
    <row r="619" spans="1:26" ht="15.75" customHeight="1">
      <c r="A619" s="17"/>
      <c r="B619" s="18"/>
      <c r="C619" s="19"/>
      <c r="D619" s="2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21"/>
      <c r="X619" s="21"/>
      <c r="Y619" s="21"/>
      <c r="Z619" s="21"/>
    </row>
    <row r="620" spans="1:26" ht="15.75" customHeight="1">
      <c r="A620" s="17"/>
      <c r="B620" s="18"/>
      <c r="C620" s="19"/>
      <c r="D620" s="2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21"/>
      <c r="X620" s="21"/>
      <c r="Y620" s="21"/>
      <c r="Z620" s="21"/>
    </row>
    <row r="621" spans="1:26" ht="15.75" customHeight="1">
      <c r="A621" s="17"/>
      <c r="B621" s="18"/>
      <c r="C621" s="19"/>
      <c r="D621" s="2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21"/>
      <c r="X621" s="21"/>
      <c r="Y621" s="21"/>
      <c r="Z621" s="21"/>
    </row>
    <row r="622" spans="1:26" ht="15.75" customHeight="1">
      <c r="A622" s="17"/>
      <c r="B622" s="18"/>
      <c r="C622" s="19"/>
      <c r="D622" s="2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21"/>
      <c r="X622" s="21"/>
      <c r="Y622" s="21"/>
      <c r="Z622" s="21"/>
    </row>
    <row r="623" spans="1:26" ht="15.75" customHeight="1">
      <c r="A623" s="17"/>
      <c r="B623" s="18"/>
      <c r="C623" s="19"/>
      <c r="D623" s="2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21"/>
      <c r="X623" s="21"/>
      <c r="Y623" s="21"/>
      <c r="Z623" s="21"/>
    </row>
    <row r="624" spans="1:26" ht="15.75" customHeight="1">
      <c r="A624" s="17"/>
      <c r="B624" s="18"/>
      <c r="C624" s="19"/>
      <c r="D624" s="2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21"/>
      <c r="X624" s="21"/>
      <c r="Y624" s="21"/>
      <c r="Z624" s="21"/>
    </row>
    <row r="625" spans="1:26" ht="15.75" customHeight="1">
      <c r="A625" s="17"/>
      <c r="B625" s="18"/>
      <c r="C625" s="19"/>
      <c r="D625" s="2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21"/>
      <c r="X625" s="21"/>
      <c r="Y625" s="21"/>
      <c r="Z625" s="21"/>
    </row>
    <row r="626" spans="1:26" ht="15.75" customHeight="1">
      <c r="A626" s="17"/>
      <c r="B626" s="18"/>
      <c r="C626" s="19"/>
      <c r="D626" s="2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21"/>
      <c r="X626" s="21"/>
      <c r="Y626" s="21"/>
      <c r="Z626" s="21"/>
    </row>
    <row r="627" spans="1:26" ht="15.75" customHeight="1">
      <c r="A627" s="17"/>
      <c r="B627" s="18"/>
      <c r="C627" s="19"/>
      <c r="D627" s="2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21"/>
      <c r="X627" s="21"/>
      <c r="Y627" s="21"/>
      <c r="Z627" s="21"/>
    </row>
    <row r="628" spans="1:26" ht="15.75" customHeight="1">
      <c r="A628" s="17"/>
      <c r="B628" s="18"/>
      <c r="C628" s="19"/>
      <c r="D628" s="2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21"/>
      <c r="X628" s="21"/>
      <c r="Y628" s="21"/>
      <c r="Z628" s="21"/>
    </row>
    <row r="629" spans="1:26" ht="15.75" customHeight="1">
      <c r="A629" s="17"/>
      <c r="B629" s="18"/>
      <c r="C629" s="19"/>
      <c r="D629" s="2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21"/>
      <c r="X629" s="21"/>
      <c r="Y629" s="21"/>
      <c r="Z629" s="21"/>
    </row>
    <row r="630" spans="1:26" ht="15.75" customHeight="1">
      <c r="A630" s="17"/>
      <c r="B630" s="18"/>
      <c r="C630" s="19"/>
      <c r="D630" s="2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21"/>
      <c r="X630" s="21"/>
      <c r="Y630" s="21"/>
      <c r="Z630" s="21"/>
    </row>
    <row r="631" spans="1:26" ht="15.75" customHeight="1">
      <c r="A631" s="17"/>
      <c r="B631" s="18"/>
      <c r="C631" s="19"/>
      <c r="D631" s="2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21"/>
      <c r="X631" s="21"/>
      <c r="Y631" s="21"/>
      <c r="Z631" s="21"/>
    </row>
    <row r="632" spans="1:26" ht="15.75" customHeight="1">
      <c r="A632" s="17"/>
      <c r="B632" s="18"/>
      <c r="C632" s="19"/>
      <c r="D632" s="2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21"/>
      <c r="X632" s="21"/>
      <c r="Y632" s="21"/>
      <c r="Z632" s="21"/>
    </row>
    <row r="633" spans="1:26" ht="15.75" customHeight="1">
      <c r="A633" s="17"/>
      <c r="B633" s="18"/>
      <c r="C633" s="19"/>
      <c r="D633" s="2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21"/>
      <c r="X633" s="21"/>
      <c r="Y633" s="21"/>
      <c r="Z633" s="21"/>
    </row>
    <row r="634" spans="1:26" ht="15.75" customHeight="1">
      <c r="A634" s="17"/>
      <c r="B634" s="18"/>
      <c r="C634" s="19"/>
      <c r="D634" s="2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21"/>
      <c r="X634" s="21"/>
      <c r="Y634" s="21"/>
      <c r="Z634" s="21"/>
    </row>
    <row r="635" spans="1:26" ht="15.75" customHeight="1">
      <c r="A635" s="17"/>
      <c r="B635" s="18"/>
      <c r="C635" s="19"/>
      <c r="D635" s="2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21"/>
      <c r="X635" s="21"/>
      <c r="Y635" s="21"/>
      <c r="Z635" s="21"/>
    </row>
    <row r="636" spans="1:26" ht="15.75" customHeight="1">
      <c r="A636" s="17"/>
      <c r="B636" s="18"/>
      <c r="C636" s="19"/>
      <c r="D636" s="2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21"/>
      <c r="X636" s="21"/>
      <c r="Y636" s="21"/>
      <c r="Z636" s="21"/>
    </row>
    <row r="637" spans="1:26" ht="15.75" customHeight="1">
      <c r="A637" s="17"/>
      <c r="B637" s="18"/>
      <c r="C637" s="19"/>
      <c r="D637" s="2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21"/>
      <c r="X637" s="21"/>
      <c r="Y637" s="21"/>
      <c r="Z637" s="21"/>
    </row>
    <row r="638" spans="1:26" ht="15.75" customHeight="1">
      <c r="A638" s="17"/>
      <c r="B638" s="18"/>
      <c r="C638" s="19"/>
      <c r="D638" s="2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21"/>
      <c r="X638" s="21"/>
      <c r="Y638" s="21"/>
      <c r="Z638" s="21"/>
    </row>
    <row r="639" spans="1:26" ht="15.75" customHeight="1">
      <c r="A639" s="17"/>
      <c r="B639" s="18"/>
      <c r="C639" s="19"/>
      <c r="D639" s="2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21"/>
      <c r="X639" s="21"/>
      <c r="Y639" s="21"/>
      <c r="Z639" s="21"/>
    </row>
    <row r="640" spans="1:26" ht="15.75" customHeight="1">
      <c r="A640" s="17"/>
      <c r="B640" s="18"/>
      <c r="C640" s="19"/>
      <c r="D640" s="2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21"/>
      <c r="X640" s="21"/>
      <c r="Y640" s="21"/>
      <c r="Z640" s="21"/>
    </row>
    <row r="641" spans="1:26" ht="15.75" customHeight="1">
      <c r="A641" s="17"/>
      <c r="B641" s="18"/>
      <c r="C641" s="19"/>
      <c r="D641" s="2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21"/>
      <c r="X641" s="21"/>
      <c r="Y641" s="21"/>
      <c r="Z641" s="21"/>
    </row>
    <row r="642" spans="1:26" ht="15.75" customHeight="1">
      <c r="A642" s="17"/>
      <c r="B642" s="18"/>
      <c r="C642" s="19"/>
      <c r="D642" s="2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21"/>
      <c r="X642" s="21"/>
      <c r="Y642" s="21"/>
      <c r="Z642" s="21"/>
    </row>
    <row r="643" spans="1:26" ht="15.75" customHeight="1">
      <c r="A643" s="17"/>
      <c r="B643" s="18"/>
      <c r="C643" s="19"/>
      <c r="D643" s="2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21"/>
      <c r="X643" s="21"/>
      <c r="Y643" s="21"/>
      <c r="Z643" s="21"/>
    </row>
    <row r="644" spans="1:26" ht="15.75" customHeight="1">
      <c r="A644" s="17"/>
      <c r="B644" s="18"/>
      <c r="C644" s="19"/>
      <c r="D644" s="2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21"/>
      <c r="X644" s="21"/>
      <c r="Y644" s="21"/>
      <c r="Z644" s="21"/>
    </row>
    <row r="645" spans="1:26" ht="15.75" customHeight="1">
      <c r="A645" s="17"/>
      <c r="B645" s="18"/>
      <c r="C645" s="19"/>
      <c r="D645" s="2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21"/>
      <c r="X645" s="21"/>
      <c r="Y645" s="21"/>
      <c r="Z645" s="21"/>
    </row>
    <row r="646" spans="1:26" ht="15.75" customHeight="1">
      <c r="A646" s="17"/>
      <c r="B646" s="18"/>
      <c r="C646" s="19"/>
      <c r="D646" s="2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21"/>
      <c r="X646" s="21"/>
      <c r="Y646" s="21"/>
      <c r="Z646" s="21"/>
    </row>
    <row r="647" spans="1:26" ht="15.75" customHeight="1">
      <c r="A647" s="17"/>
      <c r="B647" s="18"/>
      <c r="C647" s="19"/>
      <c r="D647" s="2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21"/>
      <c r="X647" s="21"/>
      <c r="Y647" s="21"/>
      <c r="Z647" s="21"/>
    </row>
    <row r="648" spans="1:26" ht="15.75" customHeight="1">
      <c r="A648" s="17"/>
      <c r="B648" s="18"/>
      <c r="C648" s="19"/>
      <c r="D648" s="2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21"/>
      <c r="X648" s="21"/>
      <c r="Y648" s="21"/>
      <c r="Z648" s="21"/>
    </row>
    <row r="649" spans="1:26" ht="15.75" customHeight="1">
      <c r="A649" s="17"/>
      <c r="B649" s="18"/>
      <c r="C649" s="19"/>
      <c r="D649" s="2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21"/>
      <c r="X649" s="21"/>
      <c r="Y649" s="21"/>
      <c r="Z649" s="21"/>
    </row>
    <row r="650" spans="1:26" ht="15.75" customHeight="1">
      <c r="A650" s="17"/>
      <c r="B650" s="18"/>
      <c r="C650" s="19"/>
      <c r="D650" s="2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21"/>
      <c r="X650" s="21"/>
      <c r="Y650" s="21"/>
      <c r="Z650" s="21"/>
    </row>
    <row r="651" spans="1:26" ht="15.75" customHeight="1">
      <c r="A651" s="17"/>
      <c r="B651" s="18"/>
      <c r="C651" s="19"/>
      <c r="D651" s="2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21"/>
      <c r="X651" s="21"/>
      <c r="Y651" s="21"/>
      <c r="Z651" s="21"/>
    </row>
    <row r="652" spans="1:26" ht="15.75" customHeight="1">
      <c r="A652" s="17"/>
      <c r="B652" s="18"/>
      <c r="C652" s="19"/>
      <c r="D652" s="2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21"/>
      <c r="X652" s="21"/>
      <c r="Y652" s="21"/>
      <c r="Z652" s="21"/>
    </row>
    <row r="653" spans="1:26" ht="15.75" customHeight="1">
      <c r="A653" s="17"/>
      <c r="B653" s="18"/>
      <c r="C653" s="19"/>
      <c r="D653" s="2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21"/>
      <c r="X653" s="21"/>
      <c r="Y653" s="21"/>
      <c r="Z653" s="21"/>
    </row>
    <row r="654" spans="1:26" ht="15.75" customHeight="1">
      <c r="A654" s="17"/>
      <c r="B654" s="18"/>
      <c r="C654" s="19"/>
      <c r="D654" s="2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21"/>
      <c r="X654" s="21"/>
      <c r="Y654" s="21"/>
      <c r="Z654" s="21"/>
    </row>
    <row r="655" spans="1:26" ht="15.75" customHeight="1">
      <c r="A655" s="17"/>
      <c r="B655" s="18"/>
      <c r="C655" s="19"/>
      <c r="D655" s="2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21"/>
      <c r="X655" s="21"/>
      <c r="Y655" s="21"/>
      <c r="Z655" s="21"/>
    </row>
    <row r="656" spans="1:26" ht="15.75" customHeight="1">
      <c r="A656" s="17"/>
      <c r="B656" s="18"/>
      <c r="C656" s="19"/>
      <c r="D656" s="2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21"/>
      <c r="X656" s="21"/>
      <c r="Y656" s="21"/>
      <c r="Z656" s="21"/>
    </row>
    <row r="657" spans="1:26" ht="15.75" customHeight="1">
      <c r="A657" s="17"/>
      <c r="B657" s="18"/>
      <c r="C657" s="19"/>
      <c r="D657" s="2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21"/>
      <c r="X657" s="21"/>
      <c r="Y657" s="21"/>
      <c r="Z657" s="21"/>
    </row>
    <row r="658" spans="1:26" ht="15.75" customHeight="1">
      <c r="A658" s="17"/>
      <c r="B658" s="18"/>
      <c r="C658" s="19"/>
      <c r="D658" s="2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21"/>
      <c r="X658" s="21"/>
      <c r="Y658" s="21"/>
      <c r="Z658" s="21"/>
    </row>
    <row r="659" spans="1:26" ht="15.75" customHeight="1">
      <c r="A659" s="17"/>
      <c r="B659" s="18"/>
      <c r="C659" s="19"/>
      <c r="D659" s="2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21"/>
      <c r="X659" s="21"/>
      <c r="Y659" s="21"/>
      <c r="Z659" s="21"/>
    </row>
    <row r="660" spans="1:26" ht="15.75" customHeight="1">
      <c r="A660" s="17"/>
      <c r="B660" s="18"/>
      <c r="C660" s="19"/>
      <c r="D660" s="2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21"/>
      <c r="X660" s="21"/>
      <c r="Y660" s="21"/>
      <c r="Z660" s="21"/>
    </row>
    <row r="661" spans="1:26" ht="15.75" customHeight="1">
      <c r="A661" s="17"/>
      <c r="B661" s="18"/>
      <c r="C661" s="19"/>
      <c r="D661" s="2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21"/>
      <c r="X661" s="21"/>
      <c r="Y661" s="21"/>
      <c r="Z661" s="21"/>
    </row>
    <row r="662" spans="1:26" ht="15.75" customHeight="1">
      <c r="A662" s="17"/>
      <c r="B662" s="18"/>
      <c r="C662" s="19"/>
      <c r="D662" s="2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21"/>
      <c r="X662" s="21"/>
      <c r="Y662" s="21"/>
      <c r="Z662" s="21"/>
    </row>
    <row r="663" spans="1:26" ht="15.75" customHeight="1">
      <c r="A663" s="17"/>
      <c r="B663" s="18"/>
      <c r="C663" s="19"/>
      <c r="D663" s="2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21"/>
      <c r="X663" s="21"/>
      <c r="Y663" s="21"/>
      <c r="Z663" s="21"/>
    </row>
    <row r="664" spans="1:26" ht="15.75" customHeight="1">
      <c r="A664" s="17"/>
      <c r="B664" s="18"/>
      <c r="C664" s="19"/>
      <c r="D664" s="2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21"/>
      <c r="X664" s="21"/>
      <c r="Y664" s="21"/>
      <c r="Z664" s="21"/>
    </row>
    <row r="665" spans="1:26" ht="15.75" customHeight="1">
      <c r="A665" s="17"/>
      <c r="B665" s="18"/>
      <c r="C665" s="19"/>
      <c r="D665" s="2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21"/>
      <c r="X665" s="21"/>
      <c r="Y665" s="21"/>
      <c r="Z665" s="21"/>
    </row>
    <row r="666" spans="1:26" ht="15.75" customHeight="1">
      <c r="A666" s="17"/>
      <c r="B666" s="18"/>
      <c r="C666" s="19"/>
      <c r="D666" s="2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21"/>
      <c r="X666" s="21"/>
      <c r="Y666" s="21"/>
      <c r="Z666" s="21"/>
    </row>
    <row r="667" spans="1:26" ht="15.75" customHeight="1">
      <c r="A667" s="17"/>
      <c r="B667" s="18"/>
      <c r="C667" s="19"/>
      <c r="D667" s="2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21"/>
      <c r="X667" s="21"/>
      <c r="Y667" s="21"/>
      <c r="Z667" s="21"/>
    </row>
    <row r="668" spans="1:26" ht="15.75" customHeight="1">
      <c r="A668" s="17"/>
      <c r="B668" s="18"/>
      <c r="C668" s="19"/>
      <c r="D668" s="2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21"/>
      <c r="X668" s="21"/>
      <c r="Y668" s="21"/>
      <c r="Z668" s="21"/>
    </row>
    <row r="669" spans="1:26" ht="15.75" customHeight="1">
      <c r="A669" s="17"/>
      <c r="B669" s="18"/>
      <c r="C669" s="19"/>
      <c r="D669" s="2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21"/>
      <c r="X669" s="21"/>
      <c r="Y669" s="21"/>
      <c r="Z669" s="21"/>
    </row>
    <row r="670" spans="1:26" ht="15.75" customHeight="1">
      <c r="A670" s="17"/>
      <c r="B670" s="18"/>
      <c r="C670" s="19"/>
      <c r="D670" s="2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21"/>
      <c r="X670" s="21"/>
      <c r="Y670" s="21"/>
      <c r="Z670" s="21"/>
    </row>
    <row r="671" spans="1:26" ht="15.75" customHeight="1">
      <c r="A671" s="17"/>
      <c r="B671" s="18"/>
      <c r="C671" s="19"/>
      <c r="D671" s="2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21"/>
      <c r="X671" s="21"/>
      <c r="Y671" s="21"/>
      <c r="Z671" s="21"/>
    </row>
    <row r="672" spans="1:26" ht="15.75" customHeight="1">
      <c r="A672" s="17"/>
      <c r="B672" s="18"/>
      <c r="C672" s="19"/>
      <c r="D672" s="2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21"/>
      <c r="X672" s="21"/>
      <c r="Y672" s="21"/>
      <c r="Z672" s="21"/>
    </row>
    <row r="673" spans="1:26" ht="15.75" customHeight="1">
      <c r="A673" s="17"/>
      <c r="B673" s="18"/>
      <c r="C673" s="19"/>
      <c r="D673" s="2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21"/>
      <c r="X673" s="21"/>
      <c r="Y673" s="21"/>
      <c r="Z673" s="21"/>
    </row>
    <row r="674" spans="1:26" ht="15.75" customHeight="1">
      <c r="A674" s="17"/>
      <c r="B674" s="18"/>
      <c r="C674" s="19"/>
      <c r="D674" s="2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21"/>
      <c r="X674" s="21"/>
      <c r="Y674" s="21"/>
      <c r="Z674" s="21"/>
    </row>
    <row r="675" spans="1:26" ht="15.75" customHeight="1">
      <c r="A675" s="17"/>
      <c r="B675" s="18"/>
      <c r="C675" s="19"/>
      <c r="D675" s="2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21"/>
      <c r="X675" s="21"/>
      <c r="Y675" s="21"/>
      <c r="Z675" s="21"/>
    </row>
    <row r="676" spans="1:26" ht="15.75" customHeight="1">
      <c r="A676" s="17"/>
      <c r="B676" s="18"/>
      <c r="C676" s="19"/>
      <c r="D676" s="2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21"/>
      <c r="X676" s="21"/>
      <c r="Y676" s="21"/>
      <c r="Z676" s="21"/>
    </row>
    <row r="677" spans="1:26" ht="15.75" customHeight="1">
      <c r="A677" s="17"/>
      <c r="B677" s="18"/>
      <c r="C677" s="19"/>
      <c r="D677" s="2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21"/>
      <c r="X677" s="21"/>
      <c r="Y677" s="21"/>
      <c r="Z677" s="21"/>
    </row>
    <row r="678" spans="1:26" ht="15.75" customHeight="1">
      <c r="A678" s="17"/>
      <c r="B678" s="18"/>
      <c r="C678" s="19"/>
      <c r="D678" s="2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21"/>
      <c r="X678" s="21"/>
      <c r="Y678" s="21"/>
      <c r="Z678" s="21"/>
    </row>
    <row r="679" spans="1:26" ht="15.75" customHeight="1">
      <c r="A679" s="17"/>
      <c r="B679" s="18"/>
      <c r="C679" s="19"/>
      <c r="D679" s="2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21"/>
      <c r="X679" s="21"/>
      <c r="Y679" s="21"/>
      <c r="Z679" s="21"/>
    </row>
    <row r="680" spans="1:26" ht="15.75" customHeight="1">
      <c r="A680" s="17"/>
      <c r="B680" s="18"/>
      <c r="C680" s="19"/>
      <c r="D680" s="2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21"/>
      <c r="X680" s="21"/>
      <c r="Y680" s="21"/>
      <c r="Z680" s="21"/>
    </row>
    <row r="681" spans="1:26" ht="15.75" customHeight="1">
      <c r="A681" s="17"/>
      <c r="B681" s="18"/>
      <c r="C681" s="19"/>
      <c r="D681" s="2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21"/>
      <c r="X681" s="21"/>
      <c r="Y681" s="21"/>
      <c r="Z681" s="21"/>
    </row>
    <row r="682" spans="1:26" ht="15.75" customHeight="1">
      <c r="A682" s="17"/>
      <c r="B682" s="18"/>
      <c r="C682" s="19"/>
      <c r="D682" s="2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21"/>
      <c r="X682" s="21"/>
      <c r="Y682" s="21"/>
      <c r="Z682" s="21"/>
    </row>
    <row r="683" spans="1:26" ht="15.75" customHeight="1">
      <c r="A683" s="17"/>
      <c r="B683" s="18"/>
      <c r="C683" s="19"/>
      <c r="D683" s="2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21"/>
      <c r="X683" s="21"/>
      <c r="Y683" s="21"/>
      <c r="Z683" s="21"/>
    </row>
    <row r="684" spans="1:26" ht="15.75" customHeight="1">
      <c r="A684" s="17"/>
      <c r="B684" s="18"/>
      <c r="C684" s="19"/>
      <c r="D684" s="2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21"/>
      <c r="X684" s="21"/>
      <c r="Y684" s="21"/>
      <c r="Z684" s="21"/>
    </row>
    <row r="685" spans="1:26" ht="15.75" customHeight="1">
      <c r="A685" s="17"/>
      <c r="B685" s="18"/>
      <c r="C685" s="19"/>
      <c r="D685" s="2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21"/>
      <c r="X685" s="21"/>
      <c r="Y685" s="21"/>
      <c r="Z685" s="21"/>
    </row>
    <row r="686" spans="1:26" ht="15.75" customHeight="1">
      <c r="A686" s="17"/>
      <c r="B686" s="18"/>
      <c r="C686" s="19"/>
      <c r="D686" s="2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21"/>
      <c r="X686" s="21"/>
      <c r="Y686" s="21"/>
      <c r="Z686" s="21"/>
    </row>
    <row r="687" spans="1:26" ht="15.75" customHeight="1">
      <c r="A687" s="17"/>
      <c r="B687" s="18"/>
      <c r="C687" s="19"/>
      <c r="D687" s="2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21"/>
      <c r="X687" s="21"/>
      <c r="Y687" s="21"/>
      <c r="Z687" s="21"/>
    </row>
    <row r="688" spans="1:26" ht="15.75" customHeight="1">
      <c r="A688" s="17"/>
      <c r="B688" s="18"/>
      <c r="C688" s="19"/>
      <c r="D688" s="2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21"/>
      <c r="X688" s="21"/>
      <c r="Y688" s="21"/>
      <c r="Z688" s="21"/>
    </row>
    <row r="689" spans="1:26" ht="15.75" customHeight="1">
      <c r="A689" s="17"/>
      <c r="B689" s="18"/>
      <c r="C689" s="19"/>
      <c r="D689" s="2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21"/>
      <c r="X689" s="21"/>
      <c r="Y689" s="21"/>
      <c r="Z689" s="21"/>
    </row>
    <row r="690" spans="1:26" ht="15.75" customHeight="1">
      <c r="A690" s="17"/>
      <c r="B690" s="18"/>
      <c r="C690" s="19"/>
      <c r="D690" s="2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21"/>
      <c r="X690" s="21"/>
      <c r="Y690" s="21"/>
      <c r="Z690" s="21"/>
    </row>
    <row r="691" spans="1:26" ht="15.75" customHeight="1">
      <c r="A691" s="17"/>
      <c r="B691" s="18"/>
      <c r="C691" s="19"/>
      <c r="D691" s="2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21"/>
      <c r="X691" s="21"/>
      <c r="Y691" s="21"/>
      <c r="Z691" s="21"/>
    </row>
    <row r="692" spans="1:26" ht="15.75" customHeight="1">
      <c r="A692" s="17"/>
      <c r="B692" s="18"/>
      <c r="C692" s="19"/>
      <c r="D692" s="2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21"/>
      <c r="X692" s="21"/>
      <c r="Y692" s="21"/>
      <c r="Z692" s="21"/>
    </row>
    <row r="693" spans="1:26" ht="15.75" customHeight="1">
      <c r="A693" s="17"/>
      <c r="B693" s="18"/>
      <c r="C693" s="19"/>
      <c r="D693" s="2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21"/>
      <c r="X693" s="21"/>
      <c r="Y693" s="21"/>
      <c r="Z693" s="21"/>
    </row>
    <row r="694" spans="1:26" ht="15.75" customHeight="1">
      <c r="A694" s="17"/>
      <c r="B694" s="18"/>
      <c r="C694" s="19"/>
      <c r="D694" s="2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21"/>
      <c r="X694" s="21"/>
      <c r="Y694" s="21"/>
      <c r="Z694" s="21"/>
    </row>
    <row r="695" spans="1:26" ht="15.75" customHeight="1">
      <c r="A695" s="17"/>
      <c r="B695" s="18"/>
      <c r="C695" s="19"/>
      <c r="D695" s="2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21"/>
      <c r="X695" s="21"/>
      <c r="Y695" s="21"/>
      <c r="Z695" s="21"/>
    </row>
    <row r="696" spans="1:26" ht="15.75" customHeight="1">
      <c r="A696" s="17"/>
      <c r="B696" s="18"/>
      <c r="C696" s="19"/>
      <c r="D696" s="2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21"/>
      <c r="X696" s="21"/>
      <c r="Y696" s="21"/>
      <c r="Z696" s="21"/>
    </row>
    <row r="697" spans="1:26" ht="15.75" customHeight="1">
      <c r="A697" s="17"/>
      <c r="B697" s="18"/>
      <c r="C697" s="19"/>
      <c r="D697" s="2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21"/>
      <c r="X697" s="21"/>
      <c r="Y697" s="21"/>
      <c r="Z697" s="21"/>
    </row>
    <row r="698" spans="1:26" ht="15.75" customHeight="1">
      <c r="A698" s="17"/>
      <c r="B698" s="18"/>
      <c r="C698" s="19"/>
      <c r="D698" s="2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21"/>
      <c r="X698" s="21"/>
      <c r="Y698" s="21"/>
      <c r="Z698" s="21"/>
    </row>
    <row r="699" spans="1:26" ht="15.75" customHeight="1">
      <c r="A699" s="17"/>
      <c r="B699" s="18"/>
      <c r="C699" s="19"/>
      <c r="D699" s="2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21"/>
      <c r="X699" s="21"/>
      <c r="Y699" s="21"/>
      <c r="Z699" s="21"/>
    </row>
    <row r="700" spans="1:26" ht="15.75" customHeight="1">
      <c r="A700" s="17"/>
      <c r="B700" s="18"/>
      <c r="C700" s="19"/>
      <c r="D700" s="2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21"/>
      <c r="X700" s="21"/>
      <c r="Y700" s="21"/>
      <c r="Z700" s="21"/>
    </row>
    <row r="701" spans="1:26" ht="15.75" customHeight="1">
      <c r="A701" s="17"/>
      <c r="B701" s="18"/>
      <c r="C701" s="19"/>
      <c r="D701" s="2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21"/>
      <c r="X701" s="21"/>
      <c r="Y701" s="21"/>
      <c r="Z701" s="21"/>
    </row>
    <row r="702" spans="1:26" ht="15.75" customHeight="1">
      <c r="A702" s="17"/>
      <c r="B702" s="18"/>
      <c r="C702" s="19"/>
      <c r="D702" s="2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21"/>
      <c r="X702" s="21"/>
      <c r="Y702" s="21"/>
      <c r="Z702" s="21"/>
    </row>
    <row r="703" spans="1:26" ht="15.75" customHeight="1">
      <c r="A703" s="17"/>
      <c r="B703" s="18"/>
      <c r="C703" s="19"/>
      <c r="D703" s="2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21"/>
      <c r="X703" s="21"/>
      <c r="Y703" s="21"/>
      <c r="Z703" s="21"/>
    </row>
    <row r="704" spans="1:26" ht="15.75" customHeight="1">
      <c r="A704" s="17"/>
      <c r="B704" s="18"/>
      <c r="C704" s="19"/>
      <c r="D704" s="2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21"/>
      <c r="X704" s="21"/>
      <c r="Y704" s="21"/>
      <c r="Z704" s="21"/>
    </row>
    <row r="705" spans="1:26" ht="15.75" customHeight="1">
      <c r="A705" s="17"/>
      <c r="B705" s="18"/>
      <c r="C705" s="19"/>
      <c r="D705" s="2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21"/>
      <c r="X705" s="21"/>
      <c r="Y705" s="21"/>
      <c r="Z705" s="21"/>
    </row>
    <row r="706" spans="1:26" ht="15.75" customHeight="1">
      <c r="A706" s="17"/>
      <c r="B706" s="18"/>
      <c r="C706" s="19"/>
      <c r="D706" s="2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21"/>
      <c r="X706" s="21"/>
      <c r="Y706" s="21"/>
      <c r="Z706" s="21"/>
    </row>
    <row r="707" spans="1:26" ht="15.75" customHeight="1">
      <c r="A707" s="17"/>
      <c r="B707" s="18"/>
      <c r="C707" s="19"/>
      <c r="D707" s="2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21"/>
      <c r="X707" s="21"/>
      <c r="Y707" s="21"/>
      <c r="Z707" s="21"/>
    </row>
    <row r="708" spans="1:26" ht="15.75" customHeight="1">
      <c r="A708" s="17"/>
      <c r="B708" s="18"/>
      <c r="C708" s="19"/>
      <c r="D708" s="2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21"/>
      <c r="X708" s="21"/>
      <c r="Y708" s="21"/>
      <c r="Z708" s="21"/>
    </row>
    <row r="709" spans="1:26" ht="15.75" customHeight="1">
      <c r="A709" s="17"/>
      <c r="B709" s="18"/>
      <c r="C709" s="19"/>
      <c r="D709" s="2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21"/>
      <c r="X709" s="21"/>
      <c r="Y709" s="21"/>
      <c r="Z709" s="21"/>
    </row>
    <row r="710" spans="1:26" ht="15.75" customHeight="1">
      <c r="A710" s="17"/>
      <c r="B710" s="18"/>
      <c r="C710" s="19"/>
      <c r="D710" s="2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21"/>
      <c r="X710" s="21"/>
      <c r="Y710" s="21"/>
      <c r="Z710" s="21"/>
    </row>
    <row r="711" spans="1:26" ht="15.75" customHeight="1">
      <c r="A711" s="17"/>
      <c r="B711" s="18"/>
      <c r="C711" s="19"/>
      <c r="D711" s="2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21"/>
      <c r="X711" s="21"/>
      <c r="Y711" s="21"/>
      <c r="Z711" s="21"/>
    </row>
    <row r="712" spans="1:26" ht="15.75" customHeight="1">
      <c r="A712" s="17"/>
      <c r="B712" s="18"/>
      <c r="C712" s="19"/>
      <c r="D712" s="2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21"/>
      <c r="X712" s="21"/>
      <c r="Y712" s="21"/>
      <c r="Z712" s="21"/>
    </row>
    <row r="713" spans="1:26" ht="15.75" customHeight="1">
      <c r="A713" s="17"/>
      <c r="B713" s="18"/>
      <c r="C713" s="19"/>
      <c r="D713" s="2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21"/>
      <c r="X713" s="21"/>
      <c r="Y713" s="21"/>
      <c r="Z713" s="21"/>
    </row>
    <row r="714" spans="1:26" ht="15.75" customHeight="1">
      <c r="A714" s="17"/>
      <c r="B714" s="18"/>
      <c r="C714" s="19"/>
      <c r="D714" s="2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21"/>
      <c r="X714" s="21"/>
      <c r="Y714" s="21"/>
      <c r="Z714" s="21"/>
    </row>
    <row r="715" spans="1:26" ht="15.75" customHeight="1">
      <c r="A715" s="17"/>
      <c r="B715" s="18"/>
      <c r="C715" s="19"/>
      <c r="D715" s="2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21"/>
      <c r="X715" s="21"/>
      <c r="Y715" s="21"/>
      <c r="Z715" s="21"/>
    </row>
    <row r="716" spans="1:26" ht="15.75" customHeight="1">
      <c r="A716" s="17"/>
      <c r="B716" s="18"/>
      <c r="C716" s="19"/>
      <c r="D716" s="2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21"/>
      <c r="X716" s="21"/>
      <c r="Y716" s="21"/>
      <c r="Z716" s="21"/>
    </row>
    <row r="717" spans="1:26" ht="15.75" customHeight="1">
      <c r="A717" s="17"/>
      <c r="B717" s="18"/>
      <c r="C717" s="19"/>
      <c r="D717" s="2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21"/>
      <c r="X717" s="21"/>
      <c r="Y717" s="21"/>
      <c r="Z717" s="21"/>
    </row>
    <row r="718" spans="1:26" ht="15.75" customHeight="1">
      <c r="A718" s="17"/>
      <c r="B718" s="18"/>
      <c r="C718" s="19"/>
      <c r="D718" s="2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21"/>
      <c r="X718" s="21"/>
      <c r="Y718" s="21"/>
      <c r="Z718" s="21"/>
    </row>
    <row r="719" spans="1:26" ht="15.75" customHeight="1">
      <c r="A719" s="17"/>
      <c r="B719" s="18"/>
      <c r="C719" s="19"/>
      <c r="D719" s="2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21"/>
      <c r="X719" s="21"/>
      <c r="Y719" s="21"/>
      <c r="Z719" s="21"/>
    </row>
    <row r="720" spans="1:26" ht="15.75" customHeight="1">
      <c r="A720" s="17"/>
      <c r="B720" s="18"/>
      <c r="C720" s="19"/>
      <c r="D720" s="2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21"/>
      <c r="X720" s="21"/>
      <c r="Y720" s="21"/>
      <c r="Z720" s="21"/>
    </row>
    <row r="721" spans="1:26" ht="15.75" customHeight="1">
      <c r="A721" s="17"/>
      <c r="B721" s="18"/>
      <c r="C721" s="19"/>
      <c r="D721" s="2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21"/>
      <c r="X721" s="21"/>
      <c r="Y721" s="21"/>
      <c r="Z721" s="21"/>
    </row>
    <row r="722" spans="1:26" ht="15.75" customHeight="1">
      <c r="A722" s="17"/>
      <c r="B722" s="18"/>
      <c r="C722" s="19"/>
      <c r="D722" s="2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21"/>
      <c r="X722" s="21"/>
      <c r="Y722" s="21"/>
      <c r="Z722" s="21"/>
    </row>
    <row r="723" spans="1:26" ht="15.75" customHeight="1">
      <c r="A723" s="17"/>
      <c r="B723" s="18"/>
      <c r="C723" s="19"/>
      <c r="D723" s="2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21"/>
      <c r="X723" s="21"/>
      <c r="Y723" s="21"/>
      <c r="Z723" s="21"/>
    </row>
    <row r="724" spans="1:26" ht="15.75" customHeight="1">
      <c r="A724" s="17"/>
      <c r="B724" s="18"/>
      <c r="C724" s="19"/>
      <c r="D724" s="2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21"/>
      <c r="X724" s="21"/>
      <c r="Y724" s="21"/>
      <c r="Z724" s="21"/>
    </row>
    <row r="725" spans="1:26" ht="15.75" customHeight="1">
      <c r="A725" s="17"/>
      <c r="B725" s="18"/>
      <c r="C725" s="19"/>
      <c r="D725" s="2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21"/>
      <c r="X725" s="21"/>
      <c r="Y725" s="21"/>
      <c r="Z725" s="21"/>
    </row>
    <row r="726" spans="1:26" ht="15.75" customHeight="1">
      <c r="A726" s="17"/>
      <c r="B726" s="18"/>
      <c r="C726" s="19"/>
      <c r="D726" s="2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21"/>
      <c r="X726" s="21"/>
      <c r="Y726" s="21"/>
      <c r="Z726" s="21"/>
    </row>
    <row r="727" spans="1:26" ht="15.75" customHeight="1">
      <c r="A727" s="17"/>
      <c r="B727" s="18"/>
      <c r="C727" s="19"/>
      <c r="D727" s="2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21"/>
      <c r="X727" s="21"/>
      <c r="Y727" s="21"/>
      <c r="Z727" s="21"/>
    </row>
    <row r="728" spans="1:26" ht="15.75" customHeight="1">
      <c r="A728" s="17"/>
      <c r="B728" s="18"/>
      <c r="C728" s="19"/>
      <c r="D728" s="2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21"/>
      <c r="X728" s="21"/>
      <c r="Y728" s="21"/>
      <c r="Z728" s="21"/>
    </row>
    <row r="729" spans="1:26" ht="15.75" customHeight="1">
      <c r="A729" s="17"/>
      <c r="B729" s="18"/>
      <c r="C729" s="19"/>
      <c r="D729" s="2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21"/>
      <c r="X729" s="21"/>
      <c r="Y729" s="21"/>
      <c r="Z729" s="21"/>
    </row>
    <row r="730" spans="1:26" ht="15.75" customHeight="1">
      <c r="A730" s="17"/>
      <c r="B730" s="18"/>
      <c r="C730" s="19"/>
      <c r="D730" s="2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21"/>
      <c r="X730" s="21"/>
      <c r="Y730" s="21"/>
      <c r="Z730" s="21"/>
    </row>
    <row r="731" spans="1:26" ht="15.75" customHeight="1">
      <c r="A731" s="17"/>
      <c r="B731" s="18"/>
      <c r="C731" s="19"/>
      <c r="D731" s="2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21"/>
      <c r="X731" s="21"/>
      <c r="Y731" s="21"/>
      <c r="Z731" s="21"/>
    </row>
    <row r="732" spans="1:26" ht="15.75" customHeight="1">
      <c r="A732" s="17"/>
      <c r="B732" s="18"/>
      <c r="C732" s="19"/>
      <c r="D732" s="2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21"/>
      <c r="X732" s="21"/>
      <c r="Y732" s="21"/>
      <c r="Z732" s="21"/>
    </row>
    <row r="733" spans="1:26" ht="15.75" customHeight="1">
      <c r="A733" s="17"/>
      <c r="B733" s="18"/>
      <c r="C733" s="19"/>
      <c r="D733" s="2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21"/>
      <c r="X733" s="21"/>
      <c r="Y733" s="21"/>
      <c r="Z733" s="21"/>
    </row>
    <row r="734" spans="1:26" ht="15.75" customHeight="1">
      <c r="A734" s="17"/>
      <c r="B734" s="18"/>
      <c r="C734" s="19"/>
      <c r="D734" s="2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21"/>
      <c r="X734" s="21"/>
      <c r="Y734" s="21"/>
      <c r="Z734" s="21"/>
    </row>
    <row r="735" spans="1:26" ht="15.75" customHeight="1">
      <c r="A735" s="17"/>
      <c r="B735" s="18"/>
      <c r="C735" s="19"/>
      <c r="D735" s="2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21"/>
      <c r="X735" s="21"/>
      <c r="Y735" s="21"/>
      <c r="Z735" s="21"/>
    </row>
    <row r="736" spans="1:26" ht="15.75" customHeight="1">
      <c r="A736" s="17"/>
      <c r="B736" s="18"/>
      <c r="C736" s="19"/>
      <c r="D736" s="2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21"/>
      <c r="X736" s="21"/>
      <c r="Y736" s="21"/>
      <c r="Z736" s="21"/>
    </row>
    <row r="737" spans="1:26" ht="15.75" customHeight="1">
      <c r="A737" s="17"/>
      <c r="B737" s="18"/>
      <c r="C737" s="19"/>
      <c r="D737" s="2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21"/>
      <c r="X737" s="21"/>
      <c r="Y737" s="21"/>
      <c r="Z737" s="21"/>
    </row>
    <row r="738" spans="1:26" ht="15.75" customHeight="1">
      <c r="A738" s="17"/>
      <c r="B738" s="18"/>
      <c r="C738" s="19"/>
      <c r="D738" s="2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21"/>
      <c r="X738" s="21"/>
      <c r="Y738" s="21"/>
      <c r="Z738" s="21"/>
    </row>
    <row r="739" spans="1:26" ht="15.75" customHeight="1">
      <c r="A739" s="17"/>
      <c r="B739" s="18"/>
      <c r="C739" s="19"/>
      <c r="D739" s="2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21"/>
      <c r="X739" s="21"/>
      <c r="Y739" s="21"/>
      <c r="Z739" s="21"/>
    </row>
    <row r="740" spans="1:26" ht="15.75" customHeight="1">
      <c r="A740" s="17"/>
      <c r="B740" s="18"/>
      <c r="C740" s="19"/>
      <c r="D740" s="2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21"/>
      <c r="X740" s="21"/>
      <c r="Y740" s="21"/>
      <c r="Z740" s="21"/>
    </row>
    <row r="741" spans="1:26" ht="15.75" customHeight="1">
      <c r="A741" s="17"/>
      <c r="B741" s="18"/>
      <c r="C741" s="19"/>
      <c r="D741" s="2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21"/>
      <c r="X741" s="21"/>
      <c r="Y741" s="21"/>
      <c r="Z741" s="21"/>
    </row>
    <row r="742" spans="1:26" ht="15.75" customHeight="1">
      <c r="A742" s="17"/>
      <c r="B742" s="18"/>
      <c r="C742" s="19"/>
      <c r="D742" s="2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21"/>
      <c r="X742" s="21"/>
      <c r="Y742" s="21"/>
      <c r="Z742" s="21"/>
    </row>
    <row r="743" spans="1:26" ht="15.75" customHeight="1">
      <c r="A743" s="17"/>
      <c r="B743" s="18"/>
      <c r="C743" s="19"/>
      <c r="D743" s="2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21"/>
      <c r="X743" s="21"/>
      <c r="Y743" s="21"/>
      <c r="Z743" s="21"/>
    </row>
    <row r="744" spans="1:26" ht="15.75" customHeight="1">
      <c r="A744" s="17"/>
      <c r="B744" s="18"/>
      <c r="C744" s="19"/>
      <c r="D744" s="2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21"/>
      <c r="X744" s="21"/>
      <c r="Y744" s="21"/>
      <c r="Z744" s="21"/>
    </row>
    <row r="745" spans="1:26" ht="15.75" customHeight="1">
      <c r="A745" s="17"/>
      <c r="B745" s="18"/>
      <c r="C745" s="19"/>
      <c r="D745" s="2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21"/>
      <c r="X745" s="21"/>
      <c r="Y745" s="21"/>
      <c r="Z745" s="21"/>
    </row>
    <row r="746" spans="1:26" ht="15.75" customHeight="1">
      <c r="A746" s="17"/>
      <c r="B746" s="18"/>
      <c r="C746" s="19"/>
      <c r="D746" s="2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21"/>
      <c r="X746" s="21"/>
      <c r="Y746" s="21"/>
      <c r="Z746" s="21"/>
    </row>
    <row r="747" spans="1:26" ht="15.75" customHeight="1">
      <c r="A747" s="17"/>
      <c r="B747" s="18"/>
      <c r="C747" s="19"/>
      <c r="D747" s="2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21"/>
      <c r="X747" s="21"/>
      <c r="Y747" s="21"/>
      <c r="Z747" s="21"/>
    </row>
    <row r="748" spans="1:26" ht="15.75" customHeight="1">
      <c r="A748" s="17"/>
      <c r="B748" s="18"/>
      <c r="C748" s="19"/>
      <c r="D748" s="2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21"/>
      <c r="X748" s="21"/>
      <c r="Y748" s="21"/>
      <c r="Z748" s="21"/>
    </row>
    <row r="749" spans="1:26" ht="15.75" customHeight="1">
      <c r="A749" s="17"/>
      <c r="B749" s="18"/>
      <c r="C749" s="19"/>
      <c r="D749" s="2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21"/>
      <c r="X749" s="21"/>
      <c r="Y749" s="21"/>
      <c r="Z749" s="21"/>
    </row>
    <row r="750" spans="1:26" ht="15.75" customHeight="1">
      <c r="A750" s="17"/>
      <c r="B750" s="18"/>
      <c r="C750" s="19"/>
      <c r="D750" s="2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21"/>
      <c r="X750" s="21"/>
      <c r="Y750" s="21"/>
      <c r="Z750" s="21"/>
    </row>
    <row r="751" spans="1:26" ht="15.75" customHeight="1">
      <c r="A751" s="17"/>
      <c r="B751" s="18"/>
      <c r="C751" s="19"/>
      <c r="D751" s="2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21"/>
      <c r="X751" s="21"/>
      <c r="Y751" s="21"/>
      <c r="Z751" s="21"/>
    </row>
    <row r="752" spans="1:26" ht="15.75" customHeight="1">
      <c r="A752" s="17"/>
      <c r="B752" s="18"/>
      <c r="C752" s="19"/>
      <c r="D752" s="2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21"/>
      <c r="X752" s="21"/>
      <c r="Y752" s="21"/>
      <c r="Z752" s="21"/>
    </row>
    <row r="753" spans="1:26" ht="15.75" customHeight="1">
      <c r="A753" s="17"/>
      <c r="B753" s="18"/>
      <c r="C753" s="19"/>
      <c r="D753" s="2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21"/>
      <c r="X753" s="21"/>
      <c r="Y753" s="21"/>
      <c r="Z753" s="21"/>
    </row>
    <row r="754" spans="1:26" ht="15.75" customHeight="1">
      <c r="A754" s="17"/>
      <c r="B754" s="18"/>
      <c r="C754" s="19"/>
      <c r="D754" s="2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21"/>
      <c r="X754" s="21"/>
      <c r="Y754" s="21"/>
      <c r="Z754" s="21"/>
    </row>
    <row r="755" spans="1:26" ht="15.75" customHeight="1">
      <c r="A755" s="17"/>
      <c r="B755" s="18"/>
      <c r="C755" s="19"/>
      <c r="D755" s="2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21"/>
      <c r="X755" s="21"/>
      <c r="Y755" s="21"/>
      <c r="Z755" s="21"/>
    </row>
    <row r="756" spans="1:26" ht="15.75" customHeight="1">
      <c r="A756" s="17"/>
      <c r="B756" s="18"/>
      <c r="C756" s="19"/>
      <c r="D756" s="2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21"/>
      <c r="X756" s="21"/>
      <c r="Y756" s="21"/>
      <c r="Z756" s="21"/>
    </row>
    <row r="757" spans="1:26" ht="15.75" customHeight="1">
      <c r="A757" s="17"/>
      <c r="B757" s="18"/>
      <c r="C757" s="19"/>
      <c r="D757" s="2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21"/>
      <c r="X757" s="21"/>
      <c r="Y757" s="21"/>
      <c r="Z757" s="21"/>
    </row>
    <row r="758" spans="1:26" ht="15.75" customHeight="1">
      <c r="A758" s="17"/>
      <c r="B758" s="18"/>
      <c r="C758" s="19"/>
      <c r="D758" s="2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21"/>
      <c r="X758" s="21"/>
      <c r="Y758" s="21"/>
      <c r="Z758" s="21"/>
    </row>
    <row r="759" spans="1:26" ht="15.75" customHeight="1">
      <c r="A759" s="17"/>
      <c r="B759" s="18"/>
      <c r="C759" s="19"/>
      <c r="D759" s="2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21"/>
      <c r="X759" s="21"/>
      <c r="Y759" s="21"/>
      <c r="Z759" s="21"/>
    </row>
    <row r="760" spans="1:26" ht="15.75" customHeight="1">
      <c r="A760" s="17"/>
      <c r="B760" s="18"/>
      <c r="C760" s="19"/>
      <c r="D760" s="2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21"/>
      <c r="X760" s="21"/>
      <c r="Y760" s="21"/>
      <c r="Z760" s="21"/>
    </row>
    <row r="761" spans="1:26" ht="15.75" customHeight="1">
      <c r="A761" s="17"/>
      <c r="B761" s="18"/>
      <c r="C761" s="19"/>
      <c r="D761" s="2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21"/>
      <c r="X761" s="21"/>
      <c r="Y761" s="21"/>
      <c r="Z761" s="21"/>
    </row>
    <row r="762" spans="1:26" ht="15.75" customHeight="1">
      <c r="A762" s="17"/>
      <c r="B762" s="18"/>
      <c r="C762" s="19"/>
      <c r="D762" s="2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21"/>
      <c r="X762" s="21"/>
      <c r="Y762" s="21"/>
      <c r="Z762" s="21"/>
    </row>
    <row r="763" spans="1:26" ht="15.75" customHeight="1">
      <c r="A763" s="17"/>
      <c r="B763" s="18"/>
      <c r="C763" s="19"/>
      <c r="D763" s="2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21"/>
      <c r="X763" s="21"/>
      <c r="Y763" s="21"/>
      <c r="Z763" s="21"/>
    </row>
    <row r="764" spans="1:26" ht="15.75" customHeight="1">
      <c r="A764" s="17"/>
      <c r="B764" s="18"/>
      <c r="C764" s="19"/>
      <c r="D764" s="2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21"/>
      <c r="X764" s="21"/>
      <c r="Y764" s="21"/>
      <c r="Z764" s="21"/>
    </row>
    <row r="765" spans="1:26" ht="15.75" customHeight="1">
      <c r="A765" s="17"/>
      <c r="B765" s="18"/>
      <c r="C765" s="19"/>
      <c r="D765" s="2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21"/>
      <c r="X765" s="21"/>
      <c r="Y765" s="21"/>
      <c r="Z765" s="21"/>
    </row>
    <row r="766" spans="1:26" ht="15.75" customHeight="1">
      <c r="A766" s="17"/>
      <c r="B766" s="18"/>
      <c r="C766" s="19"/>
      <c r="D766" s="2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21"/>
      <c r="X766" s="21"/>
      <c r="Y766" s="21"/>
      <c r="Z766" s="21"/>
    </row>
    <row r="767" spans="1:26" ht="15.75" customHeight="1">
      <c r="A767" s="17"/>
      <c r="B767" s="18"/>
      <c r="C767" s="19"/>
      <c r="D767" s="2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21"/>
      <c r="X767" s="21"/>
      <c r="Y767" s="21"/>
      <c r="Z767" s="21"/>
    </row>
    <row r="768" spans="1:26" ht="15.75" customHeight="1">
      <c r="A768" s="17"/>
      <c r="B768" s="18"/>
      <c r="C768" s="19"/>
      <c r="D768" s="2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21"/>
      <c r="X768" s="21"/>
      <c r="Y768" s="21"/>
      <c r="Z768" s="21"/>
    </row>
    <row r="769" spans="1:26" ht="15.75" customHeight="1">
      <c r="A769" s="17"/>
      <c r="B769" s="18"/>
      <c r="C769" s="19"/>
      <c r="D769" s="2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21"/>
      <c r="X769" s="21"/>
      <c r="Y769" s="21"/>
      <c r="Z769" s="21"/>
    </row>
    <row r="770" spans="1:26" ht="15.75" customHeight="1">
      <c r="A770" s="17"/>
      <c r="B770" s="18"/>
      <c r="C770" s="19"/>
      <c r="D770" s="2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21"/>
      <c r="X770" s="21"/>
      <c r="Y770" s="21"/>
      <c r="Z770" s="21"/>
    </row>
    <row r="771" spans="1:26" ht="15.75" customHeight="1">
      <c r="A771" s="17"/>
      <c r="B771" s="18"/>
      <c r="C771" s="19"/>
      <c r="D771" s="2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21"/>
      <c r="X771" s="21"/>
      <c r="Y771" s="21"/>
      <c r="Z771" s="21"/>
    </row>
    <row r="772" spans="1:26" ht="15.75" customHeight="1">
      <c r="A772" s="17"/>
      <c r="B772" s="18"/>
      <c r="C772" s="19"/>
      <c r="D772" s="2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21"/>
      <c r="X772" s="21"/>
      <c r="Y772" s="21"/>
      <c r="Z772" s="21"/>
    </row>
    <row r="773" spans="1:26" ht="15.75" customHeight="1">
      <c r="A773" s="17"/>
      <c r="B773" s="18"/>
      <c r="C773" s="19"/>
      <c r="D773" s="2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21"/>
      <c r="X773" s="21"/>
      <c r="Y773" s="21"/>
      <c r="Z773" s="21"/>
    </row>
    <row r="774" spans="1:26" ht="15.75" customHeight="1">
      <c r="A774" s="17"/>
      <c r="B774" s="18"/>
      <c r="C774" s="19"/>
      <c r="D774" s="2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21"/>
      <c r="X774" s="21"/>
      <c r="Y774" s="21"/>
      <c r="Z774" s="21"/>
    </row>
    <row r="775" spans="1:26" ht="15.75" customHeight="1">
      <c r="A775" s="17"/>
      <c r="B775" s="18"/>
      <c r="C775" s="19"/>
      <c r="D775" s="2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21"/>
      <c r="X775" s="21"/>
      <c r="Y775" s="21"/>
      <c r="Z775" s="21"/>
    </row>
    <row r="776" spans="1:26" ht="15.75" customHeight="1">
      <c r="A776" s="17"/>
      <c r="B776" s="18"/>
      <c r="C776" s="19"/>
      <c r="D776" s="2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21"/>
      <c r="X776" s="21"/>
      <c r="Y776" s="21"/>
      <c r="Z776" s="21"/>
    </row>
    <row r="777" spans="1:26" ht="15.75" customHeight="1">
      <c r="A777" s="17"/>
      <c r="B777" s="18"/>
      <c r="C777" s="19"/>
      <c r="D777" s="2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21"/>
      <c r="X777" s="21"/>
      <c r="Y777" s="21"/>
      <c r="Z777" s="21"/>
    </row>
    <row r="778" spans="1:26" ht="15.75" customHeight="1">
      <c r="A778" s="17"/>
      <c r="B778" s="18"/>
      <c r="C778" s="19"/>
      <c r="D778" s="2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21"/>
      <c r="X778" s="21"/>
      <c r="Y778" s="21"/>
      <c r="Z778" s="21"/>
    </row>
    <row r="779" spans="1:26" ht="15.75" customHeight="1">
      <c r="A779" s="17"/>
      <c r="B779" s="18"/>
      <c r="C779" s="19"/>
      <c r="D779" s="2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21"/>
      <c r="X779" s="21"/>
      <c r="Y779" s="21"/>
      <c r="Z779" s="21"/>
    </row>
    <row r="780" spans="1:26" ht="15.75" customHeight="1">
      <c r="A780" s="17"/>
      <c r="B780" s="18"/>
      <c r="C780" s="19"/>
      <c r="D780" s="2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21"/>
      <c r="X780" s="21"/>
      <c r="Y780" s="21"/>
      <c r="Z780" s="21"/>
    </row>
    <row r="781" spans="1:26" ht="15.75" customHeight="1">
      <c r="A781" s="17"/>
      <c r="B781" s="18"/>
      <c r="C781" s="19"/>
      <c r="D781" s="2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21"/>
      <c r="X781" s="21"/>
      <c r="Y781" s="21"/>
      <c r="Z781" s="21"/>
    </row>
    <row r="782" spans="1:26" ht="15.75" customHeight="1">
      <c r="A782" s="17"/>
      <c r="B782" s="18"/>
      <c r="C782" s="19"/>
      <c r="D782" s="2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21"/>
      <c r="X782" s="21"/>
      <c r="Y782" s="21"/>
      <c r="Z782" s="21"/>
    </row>
    <row r="783" spans="1:26" ht="15.75" customHeight="1">
      <c r="A783" s="17"/>
      <c r="B783" s="18"/>
      <c r="C783" s="19"/>
      <c r="D783" s="2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21"/>
      <c r="X783" s="21"/>
      <c r="Y783" s="21"/>
      <c r="Z783" s="21"/>
    </row>
    <row r="784" spans="1:26" ht="15.75" customHeight="1">
      <c r="A784" s="17"/>
      <c r="B784" s="18"/>
      <c r="C784" s="19"/>
      <c r="D784" s="2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21"/>
      <c r="X784" s="21"/>
      <c r="Y784" s="21"/>
      <c r="Z784" s="21"/>
    </row>
    <row r="785" spans="1:26" ht="15.75" customHeight="1">
      <c r="A785" s="17"/>
      <c r="B785" s="18"/>
      <c r="C785" s="19"/>
      <c r="D785" s="2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21"/>
      <c r="X785" s="21"/>
      <c r="Y785" s="21"/>
      <c r="Z785" s="21"/>
    </row>
    <row r="786" spans="1:26" ht="15.75" customHeight="1">
      <c r="A786" s="17"/>
      <c r="B786" s="18"/>
      <c r="C786" s="19"/>
      <c r="D786" s="2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21"/>
      <c r="X786" s="21"/>
      <c r="Y786" s="21"/>
      <c r="Z786" s="21"/>
    </row>
    <row r="787" spans="1:26" ht="15.75" customHeight="1">
      <c r="A787" s="17"/>
      <c r="B787" s="18"/>
      <c r="C787" s="19"/>
      <c r="D787" s="2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21"/>
      <c r="X787" s="21"/>
      <c r="Y787" s="21"/>
      <c r="Z787" s="21"/>
    </row>
    <row r="788" spans="1:26" ht="15.75" customHeight="1">
      <c r="A788" s="17"/>
      <c r="B788" s="18"/>
      <c r="C788" s="19"/>
      <c r="D788" s="2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21"/>
      <c r="X788" s="21"/>
      <c r="Y788" s="21"/>
      <c r="Z788" s="21"/>
    </row>
    <row r="789" spans="1:26" ht="15.75" customHeight="1">
      <c r="A789" s="17"/>
      <c r="B789" s="18"/>
      <c r="C789" s="19"/>
      <c r="D789" s="2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21"/>
      <c r="X789" s="21"/>
      <c r="Y789" s="21"/>
      <c r="Z789" s="21"/>
    </row>
    <row r="790" spans="1:26" ht="15.75" customHeight="1">
      <c r="A790" s="17"/>
      <c r="B790" s="18"/>
      <c r="C790" s="19"/>
      <c r="D790" s="2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21"/>
      <c r="X790" s="21"/>
      <c r="Y790" s="21"/>
      <c r="Z790" s="21"/>
    </row>
    <row r="791" spans="1:26" ht="15.75" customHeight="1">
      <c r="A791" s="17"/>
      <c r="B791" s="18"/>
      <c r="C791" s="19"/>
      <c r="D791" s="2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21"/>
      <c r="X791" s="21"/>
      <c r="Y791" s="21"/>
      <c r="Z791" s="21"/>
    </row>
    <row r="792" spans="1:26" ht="15.75" customHeight="1">
      <c r="A792" s="17"/>
      <c r="B792" s="18"/>
      <c r="C792" s="19"/>
      <c r="D792" s="2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21"/>
      <c r="X792" s="21"/>
      <c r="Y792" s="21"/>
      <c r="Z792" s="21"/>
    </row>
    <row r="793" spans="1:26" ht="15.75" customHeight="1">
      <c r="A793" s="17"/>
      <c r="B793" s="18"/>
      <c r="C793" s="19"/>
      <c r="D793" s="2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21"/>
      <c r="X793" s="21"/>
      <c r="Y793" s="21"/>
      <c r="Z793" s="21"/>
    </row>
    <row r="794" spans="1:26" ht="15.75" customHeight="1">
      <c r="A794" s="17"/>
      <c r="B794" s="18"/>
      <c r="C794" s="19"/>
      <c r="D794" s="2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21"/>
      <c r="X794" s="21"/>
      <c r="Y794" s="21"/>
      <c r="Z794" s="21"/>
    </row>
    <row r="795" spans="1:26" ht="15.75" customHeight="1">
      <c r="A795" s="17"/>
      <c r="B795" s="18"/>
      <c r="C795" s="19"/>
      <c r="D795" s="2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21"/>
      <c r="X795" s="21"/>
      <c r="Y795" s="21"/>
      <c r="Z795" s="21"/>
    </row>
    <row r="796" spans="1:26" ht="15.75" customHeight="1">
      <c r="A796" s="17"/>
      <c r="B796" s="18"/>
      <c r="C796" s="19"/>
      <c r="D796" s="2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21"/>
      <c r="X796" s="21"/>
      <c r="Y796" s="21"/>
      <c r="Z796" s="21"/>
    </row>
    <row r="797" spans="1:26" ht="15.75" customHeight="1">
      <c r="A797" s="17"/>
      <c r="B797" s="18"/>
      <c r="C797" s="19"/>
      <c r="D797" s="2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21"/>
      <c r="X797" s="21"/>
      <c r="Y797" s="21"/>
      <c r="Z797" s="21"/>
    </row>
    <row r="798" spans="1:26" ht="15.75" customHeight="1">
      <c r="A798" s="17"/>
      <c r="B798" s="18"/>
      <c r="C798" s="19"/>
      <c r="D798" s="2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21"/>
      <c r="X798" s="21"/>
      <c r="Y798" s="21"/>
      <c r="Z798" s="21"/>
    </row>
    <row r="799" spans="1:26" ht="15.75" customHeight="1">
      <c r="A799" s="17"/>
      <c r="B799" s="18"/>
      <c r="C799" s="19"/>
      <c r="D799" s="2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21"/>
      <c r="X799" s="21"/>
      <c r="Y799" s="21"/>
      <c r="Z799" s="21"/>
    </row>
    <row r="800" spans="1:26" ht="15.75" customHeight="1">
      <c r="A800" s="17"/>
      <c r="B800" s="18"/>
      <c r="C800" s="19"/>
      <c r="D800" s="2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21"/>
      <c r="X800" s="21"/>
      <c r="Y800" s="21"/>
      <c r="Z800" s="21"/>
    </row>
    <row r="801" spans="1:26" ht="15.75" customHeight="1">
      <c r="A801" s="17"/>
      <c r="B801" s="18"/>
      <c r="C801" s="19"/>
      <c r="D801" s="2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21"/>
      <c r="X801" s="21"/>
      <c r="Y801" s="21"/>
      <c r="Z801" s="21"/>
    </row>
    <row r="802" spans="1:26" ht="15.75" customHeight="1">
      <c r="A802" s="17"/>
      <c r="B802" s="18"/>
      <c r="C802" s="19"/>
      <c r="D802" s="2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21"/>
      <c r="X802" s="21"/>
      <c r="Y802" s="21"/>
      <c r="Z802" s="21"/>
    </row>
    <row r="803" spans="1:26" ht="15.75" customHeight="1">
      <c r="A803" s="17"/>
      <c r="B803" s="18"/>
      <c r="C803" s="19"/>
      <c r="D803" s="2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21"/>
      <c r="X803" s="21"/>
      <c r="Y803" s="21"/>
      <c r="Z803" s="21"/>
    </row>
    <row r="804" spans="1:26" ht="15.75" customHeight="1">
      <c r="A804" s="17"/>
      <c r="B804" s="18"/>
      <c r="C804" s="19"/>
      <c r="D804" s="2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21"/>
      <c r="X804" s="21"/>
      <c r="Y804" s="21"/>
      <c r="Z804" s="21"/>
    </row>
    <row r="805" spans="1:26" ht="15.75" customHeight="1">
      <c r="A805" s="17"/>
      <c r="B805" s="18"/>
      <c r="C805" s="19"/>
      <c r="D805" s="2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21"/>
      <c r="X805" s="21"/>
      <c r="Y805" s="21"/>
      <c r="Z805" s="21"/>
    </row>
    <row r="806" spans="1:26" ht="15.75" customHeight="1">
      <c r="A806" s="17"/>
      <c r="B806" s="18"/>
      <c r="C806" s="19"/>
      <c r="D806" s="2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21"/>
      <c r="X806" s="21"/>
      <c r="Y806" s="21"/>
      <c r="Z806" s="21"/>
    </row>
    <row r="807" spans="1:26" ht="15.75" customHeight="1">
      <c r="A807" s="17"/>
      <c r="B807" s="18"/>
      <c r="C807" s="19"/>
      <c r="D807" s="2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21"/>
      <c r="X807" s="21"/>
      <c r="Y807" s="21"/>
      <c r="Z807" s="21"/>
    </row>
    <row r="808" spans="1:26" ht="15.75" customHeight="1">
      <c r="A808" s="17"/>
      <c r="B808" s="18"/>
      <c r="C808" s="19"/>
      <c r="D808" s="2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21"/>
      <c r="X808" s="21"/>
      <c r="Y808" s="21"/>
      <c r="Z808" s="21"/>
    </row>
    <row r="809" spans="1:26" ht="15.75" customHeight="1">
      <c r="A809" s="17"/>
      <c r="B809" s="18"/>
      <c r="C809" s="19"/>
      <c r="D809" s="2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21"/>
      <c r="X809" s="21"/>
      <c r="Y809" s="21"/>
      <c r="Z809" s="21"/>
    </row>
    <row r="810" spans="1:26" ht="15.75" customHeight="1">
      <c r="A810" s="17"/>
      <c r="B810" s="18"/>
      <c r="C810" s="19"/>
      <c r="D810" s="2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21"/>
      <c r="X810" s="21"/>
      <c r="Y810" s="21"/>
      <c r="Z810" s="21"/>
    </row>
    <row r="811" spans="1:26" ht="15.75" customHeight="1">
      <c r="A811" s="17"/>
      <c r="B811" s="18"/>
      <c r="C811" s="19"/>
      <c r="D811" s="2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21"/>
      <c r="X811" s="21"/>
      <c r="Y811" s="21"/>
      <c r="Z811" s="21"/>
    </row>
    <row r="812" spans="1:26" ht="15.75" customHeight="1">
      <c r="A812" s="17"/>
      <c r="B812" s="18"/>
      <c r="C812" s="19"/>
      <c r="D812" s="2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21"/>
      <c r="X812" s="21"/>
      <c r="Y812" s="21"/>
      <c r="Z812" s="21"/>
    </row>
    <row r="813" spans="1:26" ht="15.75" customHeight="1">
      <c r="A813" s="17"/>
      <c r="B813" s="18"/>
      <c r="C813" s="19"/>
      <c r="D813" s="2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21"/>
      <c r="X813" s="21"/>
      <c r="Y813" s="21"/>
      <c r="Z813" s="21"/>
    </row>
    <row r="814" spans="1:26" ht="15.75" customHeight="1">
      <c r="A814" s="17"/>
      <c r="B814" s="18"/>
      <c r="C814" s="19"/>
      <c r="D814" s="2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21"/>
      <c r="X814" s="21"/>
      <c r="Y814" s="21"/>
      <c r="Z814" s="21"/>
    </row>
    <row r="815" spans="1:26" ht="15.75" customHeight="1">
      <c r="A815" s="17"/>
      <c r="B815" s="18"/>
      <c r="C815" s="19"/>
      <c r="D815" s="2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21"/>
      <c r="X815" s="21"/>
      <c r="Y815" s="21"/>
      <c r="Z815" s="21"/>
    </row>
    <row r="816" spans="1:26" ht="15.75" customHeight="1">
      <c r="A816" s="17"/>
      <c r="B816" s="18"/>
      <c r="C816" s="19"/>
      <c r="D816" s="2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21"/>
      <c r="X816" s="21"/>
      <c r="Y816" s="21"/>
      <c r="Z816" s="21"/>
    </row>
    <row r="817" spans="1:26" ht="15.75" customHeight="1">
      <c r="A817" s="17"/>
      <c r="B817" s="18"/>
      <c r="C817" s="19"/>
      <c r="D817" s="2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21"/>
      <c r="X817" s="21"/>
      <c r="Y817" s="21"/>
      <c r="Z817" s="21"/>
    </row>
    <row r="818" spans="1:26" ht="15.75" customHeight="1">
      <c r="A818" s="17"/>
      <c r="B818" s="18"/>
      <c r="C818" s="19"/>
      <c r="D818" s="2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21"/>
      <c r="X818" s="21"/>
      <c r="Y818" s="21"/>
      <c r="Z818" s="21"/>
    </row>
    <row r="819" spans="1:26" ht="15.75" customHeight="1">
      <c r="A819" s="17"/>
      <c r="B819" s="18"/>
      <c r="C819" s="19"/>
      <c r="D819" s="2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21"/>
      <c r="X819" s="21"/>
      <c r="Y819" s="21"/>
      <c r="Z819" s="21"/>
    </row>
    <row r="820" spans="1:26" ht="15.75" customHeight="1">
      <c r="A820" s="17"/>
      <c r="B820" s="18"/>
      <c r="C820" s="19"/>
      <c r="D820" s="2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21"/>
      <c r="X820" s="21"/>
      <c r="Y820" s="21"/>
      <c r="Z820" s="21"/>
    </row>
    <row r="821" spans="1:26" ht="15.75" customHeight="1">
      <c r="A821" s="17"/>
      <c r="B821" s="18"/>
      <c r="C821" s="19"/>
      <c r="D821" s="2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21"/>
      <c r="X821" s="21"/>
      <c r="Y821" s="21"/>
      <c r="Z821" s="21"/>
    </row>
    <row r="822" spans="1:26" ht="15.75" customHeight="1">
      <c r="A822" s="17"/>
      <c r="B822" s="18"/>
      <c r="C822" s="19"/>
      <c r="D822" s="2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21"/>
      <c r="X822" s="21"/>
      <c r="Y822" s="21"/>
      <c r="Z822" s="21"/>
    </row>
    <row r="823" spans="1:26" ht="15.75" customHeight="1">
      <c r="A823" s="17"/>
      <c r="B823" s="18"/>
      <c r="C823" s="19"/>
      <c r="D823" s="2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21"/>
      <c r="X823" s="21"/>
      <c r="Y823" s="21"/>
      <c r="Z823" s="21"/>
    </row>
    <row r="824" spans="1:26" ht="15.75" customHeight="1">
      <c r="A824" s="17"/>
      <c r="B824" s="18"/>
      <c r="C824" s="19"/>
      <c r="D824" s="2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21"/>
      <c r="X824" s="21"/>
      <c r="Y824" s="21"/>
      <c r="Z824" s="21"/>
    </row>
    <row r="825" spans="1:26" ht="15.75" customHeight="1">
      <c r="A825" s="17"/>
      <c r="B825" s="18"/>
      <c r="C825" s="19"/>
      <c r="D825" s="2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21"/>
      <c r="X825" s="21"/>
      <c r="Y825" s="21"/>
      <c r="Z825" s="21"/>
    </row>
    <row r="826" spans="1:26" ht="15.75" customHeight="1">
      <c r="A826" s="17"/>
      <c r="B826" s="18"/>
      <c r="C826" s="19"/>
      <c r="D826" s="2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21"/>
      <c r="X826" s="21"/>
      <c r="Y826" s="21"/>
      <c r="Z826" s="21"/>
    </row>
    <row r="827" spans="1:26" ht="15.75" customHeight="1">
      <c r="A827" s="17"/>
      <c r="B827" s="18"/>
      <c r="C827" s="19"/>
      <c r="D827" s="2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21"/>
      <c r="X827" s="21"/>
      <c r="Y827" s="21"/>
      <c r="Z827" s="21"/>
    </row>
    <row r="828" spans="1:26" ht="15.75" customHeight="1">
      <c r="A828" s="17"/>
      <c r="B828" s="18"/>
      <c r="C828" s="19"/>
      <c r="D828" s="2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21"/>
      <c r="X828" s="21"/>
      <c r="Y828" s="21"/>
      <c r="Z828" s="21"/>
    </row>
    <row r="829" spans="1:26" ht="15.75" customHeight="1">
      <c r="A829" s="17"/>
      <c r="B829" s="18"/>
      <c r="C829" s="19"/>
      <c r="D829" s="2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21"/>
      <c r="X829" s="21"/>
      <c r="Y829" s="21"/>
      <c r="Z829" s="21"/>
    </row>
    <row r="830" spans="1:26" ht="15.75" customHeight="1">
      <c r="A830" s="17"/>
      <c r="B830" s="18"/>
      <c r="C830" s="19"/>
      <c r="D830" s="2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21"/>
      <c r="X830" s="21"/>
      <c r="Y830" s="21"/>
      <c r="Z830" s="21"/>
    </row>
    <row r="831" spans="1:26" ht="15.75" customHeight="1">
      <c r="A831" s="17"/>
      <c r="B831" s="18"/>
      <c r="C831" s="19"/>
      <c r="D831" s="2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21"/>
      <c r="X831" s="21"/>
      <c r="Y831" s="21"/>
      <c r="Z831" s="21"/>
    </row>
    <row r="832" spans="1:26" ht="15.75" customHeight="1">
      <c r="A832" s="17"/>
      <c r="B832" s="18"/>
      <c r="C832" s="19"/>
      <c r="D832" s="2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21"/>
      <c r="X832" s="21"/>
      <c r="Y832" s="21"/>
      <c r="Z832" s="21"/>
    </row>
    <row r="833" spans="1:26" ht="15.75" customHeight="1">
      <c r="A833" s="17"/>
      <c r="B833" s="18"/>
      <c r="C833" s="19"/>
      <c r="D833" s="2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21"/>
      <c r="X833" s="21"/>
      <c r="Y833" s="21"/>
      <c r="Z833" s="21"/>
    </row>
    <row r="834" spans="1:26" ht="15.75" customHeight="1">
      <c r="A834" s="17"/>
      <c r="B834" s="18"/>
      <c r="C834" s="19"/>
      <c r="D834" s="2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21"/>
      <c r="X834" s="21"/>
      <c r="Y834" s="21"/>
      <c r="Z834" s="21"/>
    </row>
    <row r="835" spans="1:26" ht="15.75" customHeight="1">
      <c r="A835" s="17"/>
      <c r="B835" s="18"/>
      <c r="C835" s="19"/>
      <c r="D835" s="2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21"/>
      <c r="X835" s="21"/>
      <c r="Y835" s="21"/>
      <c r="Z835" s="21"/>
    </row>
    <row r="836" spans="1:26" ht="15.75" customHeight="1">
      <c r="A836" s="17"/>
      <c r="B836" s="18"/>
      <c r="C836" s="19"/>
      <c r="D836" s="2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21"/>
      <c r="X836" s="21"/>
      <c r="Y836" s="21"/>
      <c r="Z836" s="21"/>
    </row>
    <row r="837" spans="1:26" ht="15.75" customHeight="1">
      <c r="A837" s="17"/>
      <c r="B837" s="18"/>
      <c r="C837" s="19"/>
      <c r="D837" s="2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21"/>
      <c r="X837" s="21"/>
      <c r="Y837" s="21"/>
      <c r="Z837" s="21"/>
    </row>
    <row r="838" spans="1:26" ht="15.75" customHeight="1">
      <c r="A838" s="17"/>
      <c r="B838" s="18"/>
      <c r="C838" s="19"/>
      <c r="D838" s="2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21"/>
      <c r="X838" s="21"/>
      <c r="Y838" s="21"/>
      <c r="Z838" s="21"/>
    </row>
    <row r="839" spans="1:26" ht="15.75" customHeight="1">
      <c r="A839" s="17"/>
      <c r="B839" s="18"/>
      <c r="C839" s="19"/>
      <c r="D839" s="2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21"/>
      <c r="X839" s="21"/>
      <c r="Y839" s="21"/>
      <c r="Z839" s="21"/>
    </row>
    <row r="840" spans="1:26" ht="15.75" customHeight="1">
      <c r="A840" s="17"/>
      <c r="B840" s="18"/>
      <c r="C840" s="19"/>
      <c r="D840" s="2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21"/>
      <c r="X840" s="21"/>
      <c r="Y840" s="21"/>
      <c r="Z840" s="21"/>
    </row>
    <row r="841" spans="1:26" ht="15.75" customHeight="1">
      <c r="A841" s="17"/>
      <c r="B841" s="18"/>
      <c r="C841" s="19"/>
      <c r="D841" s="2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21"/>
      <c r="X841" s="21"/>
      <c r="Y841" s="21"/>
      <c r="Z841" s="21"/>
    </row>
    <row r="842" spans="1:26" ht="15.75" customHeight="1">
      <c r="A842" s="17"/>
      <c r="B842" s="18"/>
      <c r="C842" s="19"/>
      <c r="D842" s="2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21"/>
      <c r="X842" s="21"/>
      <c r="Y842" s="21"/>
      <c r="Z842" s="21"/>
    </row>
    <row r="843" spans="1:26" ht="15.75" customHeight="1">
      <c r="A843" s="17"/>
      <c r="B843" s="18"/>
      <c r="C843" s="19"/>
      <c r="D843" s="2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21"/>
      <c r="X843" s="21"/>
      <c r="Y843" s="21"/>
      <c r="Z843" s="21"/>
    </row>
    <row r="844" spans="1:26" ht="15.75" customHeight="1">
      <c r="A844" s="17"/>
      <c r="B844" s="18"/>
      <c r="C844" s="19"/>
      <c r="D844" s="2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21"/>
      <c r="X844" s="21"/>
      <c r="Y844" s="21"/>
      <c r="Z844" s="21"/>
    </row>
    <row r="845" spans="1:26" ht="15.75" customHeight="1">
      <c r="A845" s="17"/>
      <c r="B845" s="18"/>
      <c r="C845" s="19"/>
      <c r="D845" s="2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21"/>
      <c r="X845" s="21"/>
      <c r="Y845" s="21"/>
      <c r="Z845" s="21"/>
    </row>
    <row r="846" spans="1:26" ht="15.75" customHeight="1">
      <c r="A846" s="17"/>
      <c r="B846" s="18"/>
      <c r="C846" s="19"/>
      <c r="D846" s="2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21"/>
      <c r="X846" s="21"/>
      <c r="Y846" s="21"/>
      <c r="Z846" s="21"/>
    </row>
    <row r="847" spans="1:26" ht="15.75" customHeight="1">
      <c r="A847" s="17"/>
      <c r="B847" s="18"/>
      <c r="C847" s="19"/>
      <c r="D847" s="2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21"/>
      <c r="X847" s="21"/>
      <c r="Y847" s="21"/>
      <c r="Z847" s="21"/>
    </row>
    <row r="848" spans="1:26" ht="15.75" customHeight="1">
      <c r="A848" s="17"/>
      <c r="B848" s="18"/>
      <c r="C848" s="19"/>
      <c r="D848" s="2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21"/>
      <c r="X848" s="21"/>
      <c r="Y848" s="21"/>
      <c r="Z848" s="21"/>
    </row>
    <row r="849" spans="1:26" ht="15.75" customHeight="1">
      <c r="A849" s="17"/>
      <c r="B849" s="18"/>
      <c r="C849" s="19"/>
      <c r="D849" s="2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21"/>
      <c r="X849" s="21"/>
      <c r="Y849" s="21"/>
      <c r="Z849" s="21"/>
    </row>
    <row r="850" spans="1:26" ht="15.75" customHeight="1">
      <c r="A850" s="17"/>
      <c r="B850" s="18"/>
      <c r="C850" s="19"/>
      <c r="D850" s="2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21"/>
      <c r="X850" s="21"/>
      <c r="Y850" s="21"/>
      <c r="Z850" s="21"/>
    </row>
    <row r="851" spans="1:26" ht="15.75" customHeight="1">
      <c r="A851" s="17"/>
      <c r="B851" s="18"/>
      <c r="C851" s="19"/>
      <c r="D851" s="2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21"/>
      <c r="X851" s="21"/>
      <c r="Y851" s="21"/>
      <c r="Z851" s="21"/>
    </row>
    <row r="852" spans="1:26" ht="15.75" customHeight="1">
      <c r="A852" s="17"/>
      <c r="B852" s="18"/>
      <c r="C852" s="19"/>
      <c r="D852" s="2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21"/>
      <c r="X852" s="21"/>
      <c r="Y852" s="21"/>
      <c r="Z852" s="21"/>
    </row>
    <row r="853" spans="1:26" ht="15.75" customHeight="1">
      <c r="A853" s="17"/>
      <c r="B853" s="18"/>
      <c r="C853" s="19"/>
      <c r="D853" s="2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21"/>
      <c r="X853" s="21"/>
      <c r="Y853" s="21"/>
      <c r="Z853" s="21"/>
    </row>
    <row r="854" spans="1:26" ht="15.75" customHeight="1">
      <c r="A854" s="17"/>
      <c r="B854" s="18"/>
      <c r="C854" s="19"/>
      <c r="D854" s="2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21"/>
      <c r="X854" s="21"/>
      <c r="Y854" s="21"/>
      <c r="Z854" s="21"/>
    </row>
    <row r="855" spans="1:26" ht="15.75" customHeight="1">
      <c r="A855" s="17"/>
      <c r="B855" s="18"/>
      <c r="C855" s="19"/>
      <c r="D855" s="2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21"/>
      <c r="X855" s="21"/>
      <c r="Y855" s="21"/>
      <c r="Z855" s="21"/>
    </row>
    <row r="856" spans="1:26" ht="15.75" customHeight="1">
      <c r="A856" s="17"/>
      <c r="B856" s="18"/>
      <c r="C856" s="19"/>
      <c r="D856" s="2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21"/>
      <c r="X856" s="21"/>
      <c r="Y856" s="21"/>
      <c r="Z856" s="21"/>
    </row>
    <row r="857" spans="1:26" ht="15.75" customHeight="1">
      <c r="A857" s="17"/>
      <c r="B857" s="18"/>
      <c r="C857" s="19"/>
      <c r="D857" s="2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21"/>
      <c r="X857" s="21"/>
      <c r="Y857" s="21"/>
      <c r="Z857" s="21"/>
    </row>
    <row r="858" spans="1:26" ht="15.75" customHeight="1">
      <c r="A858" s="17"/>
      <c r="B858" s="18"/>
      <c r="C858" s="19"/>
      <c r="D858" s="2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21"/>
      <c r="X858" s="21"/>
      <c r="Y858" s="21"/>
      <c r="Z858" s="21"/>
    </row>
    <row r="859" spans="1:26" ht="15.75" customHeight="1">
      <c r="A859" s="17"/>
      <c r="B859" s="18"/>
      <c r="C859" s="19"/>
      <c r="D859" s="2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21"/>
      <c r="X859" s="21"/>
      <c r="Y859" s="21"/>
      <c r="Z859" s="21"/>
    </row>
    <row r="860" spans="1:26" ht="15.75" customHeight="1">
      <c r="A860" s="17"/>
      <c r="B860" s="18"/>
      <c r="C860" s="19"/>
      <c r="D860" s="2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21"/>
      <c r="X860" s="21"/>
      <c r="Y860" s="21"/>
      <c r="Z860" s="21"/>
    </row>
    <row r="861" spans="1:26" ht="15.75" customHeight="1">
      <c r="A861" s="17"/>
      <c r="B861" s="18"/>
      <c r="C861" s="19"/>
      <c r="D861" s="2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21"/>
      <c r="X861" s="21"/>
      <c r="Y861" s="21"/>
      <c r="Z861" s="21"/>
    </row>
    <row r="862" spans="1:26" ht="15.75" customHeight="1">
      <c r="A862" s="17"/>
      <c r="B862" s="18"/>
      <c r="C862" s="19"/>
      <c r="D862" s="2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21"/>
      <c r="X862" s="21"/>
      <c r="Y862" s="21"/>
      <c r="Z862" s="21"/>
    </row>
    <row r="863" spans="1:26" ht="15.75" customHeight="1">
      <c r="A863" s="17"/>
      <c r="B863" s="18"/>
      <c r="C863" s="19"/>
      <c r="D863" s="2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21"/>
      <c r="X863" s="21"/>
      <c r="Y863" s="21"/>
      <c r="Z863" s="21"/>
    </row>
    <row r="864" spans="1:26" ht="15.75" customHeight="1">
      <c r="A864" s="17"/>
      <c r="B864" s="18"/>
      <c r="C864" s="19"/>
      <c r="D864" s="2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21"/>
      <c r="X864" s="21"/>
      <c r="Y864" s="21"/>
      <c r="Z864" s="21"/>
    </row>
    <row r="865" spans="1:26" ht="15.75" customHeight="1">
      <c r="A865" s="17"/>
      <c r="B865" s="18"/>
      <c r="C865" s="19"/>
      <c r="D865" s="2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21"/>
      <c r="X865" s="21"/>
      <c r="Y865" s="21"/>
      <c r="Z865" s="21"/>
    </row>
    <row r="866" spans="1:26" ht="15.75" customHeight="1">
      <c r="A866" s="17"/>
      <c r="B866" s="18"/>
      <c r="C866" s="19"/>
      <c r="D866" s="2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21"/>
      <c r="X866" s="21"/>
      <c r="Y866" s="21"/>
      <c r="Z866" s="21"/>
    </row>
    <row r="867" spans="1:26" ht="15.75" customHeight="1">
      <c r="A867" s="17"/>
      <c r="B867" s="18"/>
      <c r="C867" s="19"/>
      <c r="D867" s="2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21"/>
      <c r="X867" s="21"/>
      <c r="Y867" s="21"/>
      <c r="Z867" s="21"/>
    </row>
    <row r="868" spans="1:26" ht="15.75" customHeight="1">
      <c r="A868" s="17"/>
      <c r="B868" s="18"/>
      <c r="C868" s="19"/>
      <c r="D868" s="2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21"/>
      <c r="X868" s="21"/>
      <c r="Y868" s="21"/>
      <c r="Z868" s="21"/>
    </row>
    <row r="869" spans="1:26" ht="15.75" customHeight="1">
      <c r="A869" s="17"/>
      <c r="B869" s="18"/>
      <c r="C869" s="19"/>
      <c r="D869" s="2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21"/>
      <c r="X869" s="21"/>
      <c r="Y869" s="21"/>
      <c r="Z869" s="21"/>
    </row>
    <row r="870" spans="1:26" ht="15.75" customHeight="1">
      <c r="A870" s="17"/>
      <c r="B870" s="18"/>
      <c r="C870" s="19"/>
      <c r="D870" s="2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21"/>
      <c r="X870" s="21"/>
      <c r="Y870" s="21"/>
      <c r="Z870" s="21"/>
    </row>
    <row r="871" spans="1:26" ht="15.75" customHeight="1">
      <c r="A871" s="17"/>
      <c r="B871" s="18"/>
      <c r="C871" s="19"/>
      <c r="D871" s="2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21"/>
      <c r="X871" s="21"/>
      <c r="Y871" s="21"/>
      <c r="Z871" s="21"/>
    </row>
    <row r="872" spans="1:26" ht="15.75" customHeight="1">
      <c r="A872" s="17"/>
      <c r="B872" s="18"/>
      <c r="C872" s="19"/>
      <c r="D872" s="2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21"/>
      <c r="X872" s="21"/>
      <c r="Y872" s="21"/>
      <c r="Z872" s="21"/>
    </row>
    <row r="873" spans="1:26" ht="15.75" customHeight="1">
      <c r="A873" s="17"/>
      <c r="B873" s="18"/>
      <c r="C873" s="19"/>
      <c r="D873" s="2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21"/>
      <c r="X873" s="21"/>
      <c r="Y873" s="21"/>
      <c r="Z873" s="21"/>
    </row>
    <row r="874" spans="1:26" ht="15.75" customHeight="1">
      <c r="A874" s="17"/>
      <c r="B874" s="18"/>
      <c r="C874" s="19"/>
      <c r="D874" s="2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21"/>
      <c r="X874" s="21"/>
      <c r="Y874" s="21"/>
      <c r="Z874" s="21"/>
    </row>
    <row r="875" spans="1:26" ht="15.75" customHeight="1">
      <c r="A875" s="17"/>
      <c r="B875" s="18"/>
      <c r="C875" s="19"/>
      <c r="D875" s="2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21"/>
      <c r="X875" s="21"/>
      <c r="Y875" s="21"/>
      <c r="Z875" s="21"/>
    </row>
    <row r="876" spans="1:26" ht="15.75" customHeight="1">
      <c r="A876" s="17"/>
      <c r="B876" s="18"/>
      <c r="C876" s="19"/>
      <c r="D876" s="2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21"/>
      <c r="X876" s="21"/>
      <c r="Y876" s="21"/>
      <c r="Z876" s="21"/>
    </row>
    <row r="877" spans="1:26" ht="15.75" customHeight="1">
      <c r="A877" s="17"/>
      <c r="B877" s="18"/>
      <c r="C877" s="19"/>
      <c r="D877" s="2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21"/>
      <c r="X877" s="21"/>
      <c r="Y877" s="21"/>
      <c r="Z877" s="21"/>
    </row>
    <row r="878" spans="1:26" ht="15.75" customHeight="1">
      <c r="A878" s="17"/>
      <c r="B878" s="18"/>
      <c r="C878" s="19"/>
      <c r="D878" s="2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21"/>
      <c r="X878" s="21"/>
      <c r="Y878" s="21"/>
      <c r="Z878" s="21"/>
    </row>
    <row r="879" spans="1:26" ht="15.75" customHeight="1">
      <c r="A879" s="17"/>
      <c r="B879" s="18"/>
      <c r="C879" s="19"/>
      <c r="D879" s="2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21"/>
      <c r="X879" s="21"/>
      <c r="Y879" s="21"/>
      <c r="Z879" s="21"/>
    </row>
    <row r="880" spans="1:26" ht="15.75" customHeight="1">
      <c r="A880" s="17"/>
      <c r="B880" s="18"/>
      <c r="C880" s="19"/>
      <c r="D880" s="2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21"/>
      <c r="X880" s="21"/>
      <c r="Y880" s="21"/>
      <c r="Z880" s="21"/>
    </row>
    <row r="881" spans="1:26" ht="15.75" customHeight="1">
      <c r="A881" s="17"/>
      <c r="B881" s="18"/>
      <c r="C881" s="19"/>
      <c r="D881" s="2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21"/>
      <c r="X881" s="21"/>
      <c r="Y881" s="21"/>
      <c r="Z881" s="21"/>
    </row>
    <row r="882" spans="1:26" ht="15.75" customHeight="1">
      <c r="A882" s="17"/>
      <c r="B882" s="18"/>
      <c r="C882" s="19"/>
      <c r="D882" s="2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21"/>
      <c r="X882" s="21"/>
      <c r="Y882" s="21"/>
      <c r="Z882" s="21"/>
    </row>
    <row r="883" spans="1:26" ht="15.75" customHeight="1">
      <c r="A883" s="17"/>
      <c r="B883" s="18"/>
      <c r="C883" s="19"/>
      <c r="D883" s="2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21"/>
      <c r="X883" s="21"/>
      <c r="Y883" s="21"/>
      <c r="Z883" s="21"/>
    </row>
    <row r="884" spans="1:26" ht="15.75" customHeight="1">
      <c r="A884" s="17"/>
      <c r="B884" s="18"/>
      <c r="C884" s="19"/>
      <c r="D884" s="2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21"/>
      <c r="X884" s="21"/>
      <c r="Y884" s="21"/>
      <c r="Z884" s="21"/>
    </row>
    <row r="885" spans="1:26" ht="15.75" customHeight="1">
      <c r="A885" s="17"/>
      <c r="B885" s="18"/>
      <c r="C885" s="19"/>
      <c r="D885" s="2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21"/>
      <c r="X885" s="21"/>
      <c r="Y885" s="21"/>
      <c r="Z885" s="21"/>
    </row>
    <row r="886" spans="1:26" ht="15.75" customHeight="1">
      <c r="A886" s="17"/>
      <c r="B886" s="18"/>
      <c r="C886" s="19"/>
      <c r="D886" s="2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21"/>
      <c r="X886" s="21"/>
      <c r="Y886" s="21"/>
      <c r="Z886" s="21"/>
    </row>
    <row r="887" spans="1:26" ht="15.75" customHeight="1">
      <c r="A887" s="17"/>
      <c r="B887" s="18"/>
      <c r="C887" s="19"/>
      <c r="D887" s="2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21"/>
      <c r="X887" s="21"/>
      <c r="Y887" s="21"/>
      <c r="Z887" s="21"/>
    </row>
    <row r="888" spans="1:26" ht="15.75" customHeight="1">
      <c r="A888" s="17"/>
      <c r="B888" s="18"/>
      <c r="C888" s="19"/>
      <c r="D888" s="2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21"/>
      <c r="X888" s="21"/>
      <c r="Y888" s="21"/>
      <c r="Z888" s="21"/>
    </row>
    <row r="889" spans="1:26" ht="15.75" customHeight="1">
      <c r="A889" s="17"/>
      <c r="B889" s="18"/>
      <c r="C889" s="19"/>
      <c r="D889" s="2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21"/>
      <c r="X889" s="21"/>
      <c r="Y889" s="21"/>
      <c r="Z889" s="21"/>
    </row>
    <row r="890" spans="1:26" ht="15.75" customHeight="1">
      <c r="A890" s="17"/>
      <c r="B890" s="18"/>
      <c r="C890" s="19"/>
      <c r="D890" s="2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21"/>
      <c r="X890" s="21"/>
      <c r="Y890" s="21"/>
      <c r="Z890" s="21"/>
    </row>
    <row r="891" spans="1:26" ht="15.75" customHeight="1">
      <c r="A891" s="17"/>
      <c r="B891" s="18"/>
      <c r="C891" s="19"/>
      <c r="D891" s="2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21"/>
      <c r="X891" s="21"/>
      <c r="Y891" s="21"/>
      <c r="Z891" s="21"/>
    </row>
    <row r="892" spans="1:26" ht="15.75" customHeight="1">
      <c r="A892" s="17"/>
      <c r="B892" s="18"/>
      <c r="C892" s="19"/>
      <c r="D892" s="2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21"/>
      <c r="X892" s="21"/>
      <c r="Y892" s="21"/>
      <c r="Z892" s="21"/>
    </row>
    <row r="893" spans="1:26" ht="15.75" customHeight="1">
      <c r="A893" s="17"/>
      <c r="B893" s="18"/>
      <c r="C893" s="19"/>
      <c r="D893" s="2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21"/>
      <c r="X893" s="21"/>
      <c r="Y893" s="21"/>
      <c r="Z893" s="21"/>
    </row>
    <row r="894" spans="1:26" ht="15.75" customHeight="1">
      <c r="A894" s="17"/>
      <c r="B894" s="18"/>
      <c r="C894" s="19"/>
      <c r="D894" s="2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21"/>
      <c r="X894" s="21"/>
      <c r="Y894" s="21"/>
      <c r="Z894" s="21"/>
    </row>
    <row r="895" spans="1:26" ht="15.75" customHeight="1">
      <c r="A895" s="17"/>
      <c r="B895" s="18"/>
      <c r="C895" s="19"/>
      <c r="D895" s="2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21"/>
      <c r="X895" s="21"/>
      <c r="Y895" s="21"/>
      <c r="Z895" s="21"/>
    </row>
    <row r="896" spans="1:26" ht="15.75" customHeight="1">
      <c r="A896" s="17"/>
      <c r="B896" s="18"/>
      <c r="C896" s="19"/>
      <c r="D896" s="20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21"/>
      <c r="X896" s="21"/>
      <c r="Y896" s="21"/>
      <c r="Z896" s="21"/>
    </row>
    <row r="897" spans="1:26" ht="15.75" customHeight="1">
      <c r="A897" s="17"/>
      <c r="B897" s="18"/>
      <c r="C897" s="19"/>
      <c r="D897" s="20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21"/>
      <c r="X897" s="21"/>
      <c r="Y897" s="21"/>
      <c r="Z897" s="21"/>
    </row>
    <row r="898" spans="1:26" ht="15.75" customHeight="1">
      <c r="A898" s="17"/>
      <c r="B898" s="18"/>
      <c r="C898" s="19"/>
      <c r="D898" s="20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21"/>
      <c r="X898" s="21"/>
      <c r="Y898" s="21"/>
      <c r="Z898" s="21"/>
    </row>
    <row r="899" spans="1:26" ht="15.75" customHeight="1">
      <c r="A899" s="17"/>
      <c r="B899" s="18"/>
      <c r="C899" s="19"/>
      <c r="D899" s="20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21"/>
      <c r="X899" s="21"/>
      <c r="Y899" s="21"/>
      <c r="Z899" s="21"/>
    </row>
    <row r="900" spans="1:26" ht="15.75" customHeight="1">
      <c r="A900" s="17"/>
      <c r="B900" s="18"/>
      <c r="C900" s="19"/>
      <c r="D900" s="20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21"/>
      <c r="X900" s="21"/>
      <c r="Y900" s="21"/>
      <c r="Z900" s="21"/>
    </row>
    <row r="901" spans="1:26" ht="15.75" customHeight="1">
      <c r="A901" s="17"/>
      <c r="B901" s="18"/>
      <c r="C901" s="19"/>
      <c r="D901" s="20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21"/>
      <c r="X901" s="21"/>
      <c r="Y901" s="21"/>
      <c r="Z901" s="21"/>
    </row>
    <row r="902" spans="1:26" ht="15.75" customHeight="1">
      <c r="A902" s="17"/>
      <c r="B902" s="18"/>
      <c r="C902" s="19"/>
      <c r="D902" s="20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21"/>
      <c r="X902" s="21"/>
      <c r="Y902" s="21"/>
      <c r="Z902" s="21"/>
    </row>
    <row r="903" spans="1:26" ht="15.75" customHeight="1">
      <c r="A903" s="17"/>
      <c r="B903" s="18"/>
      <c r="C903" s="19"/>
      <c r="D903" s="20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21"/>
      <c r="X903" s="21"/>
      <c r="Y903" s="21"/>
      <c r="Z903" s="21"/>
    </row>
    <row r="904" spans="1:26" ht="15.75" customHeight="1">
      <c r="A904" s="17"/>
      <c r="B904" s="18"/>
      <c r="C904" s="19"/>
      <c r="D904" s="20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21"/>
      <c r="X904" s="21"/>
      <c r="Y904" s="21"/>
      <c r="Z904" s="21"/>
    </row>
    <row r="905" spans="1:26" ht="15.75" customHeight="1">
      <c r="A905" s="17"/>
      <c r="B905" s="18"/>
      <c r="C905" s="19"/>
      <c r="D905" s="20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21"/>
      <c r="X905" s="21"/>
      <c r="Y905" s="21"/>
      <c r="Z905" s="21"/>
    </row>
    <row r="906" spans="1:26" ht="15.75" customHeight="1">
      <c r="A906" s="17"/>
      <c r="B906" s="18"/>
      <c r="C906" s="19"/>
      <c r="D906" s="20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21"/>
      <c r="X906" s="21"/>
      <c r="Y906" s="21"/>
      <c r="Z906" s="21"/>
    </row>
    <row r="907" spans="1:26" ht="15.75" customHeight="1">
      <c r="A907" s="17"/>
      <c r="B907" s="18"/>
      <c r="C907" s="19"/>
      <c r="D907" s="20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21"/>
      <c r="X907" s="21"/>
      <c r="Y907" s="21"/>
      <c r="Z907" s="21"/>
    </row>
    <row r="908" spans="1:26" ht="15.75" customHeight="1">
      <c r="A908" s="17"/>
      <c r="B908" s="18"/>
      <c r="C908" s="19"/>
      <c r="D908" s="20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21"/>
      <c r="X908" s="21"/>
      <c r="Y908" s="21"/>
      <c r="Z908" s="21"/>
    </row>
    <row r="909" spans="1:26" ht="15.75" customHeight="1">
      <c r="A909" s="17"/>
      <c r="B909" s="18"/>
      <c r="C909" s="19"/>
      <c r="D909" s="20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21"/>
      <c r="X909" s="21"/>
      <c r="Y909" s="21"/>
      <c r="Z909" s="21"/>
    </row>
    <row r="910" spans="1:26" ht="15.75" customHeight="1">
      <c r="A910" s="17"/>
      <c r="B910" s="18"/>
      <c r="C910" s="19"/>
      <c r="D910" s="20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21"/>
      <c r="X910" s="21"/>
      <c r="Y910" s="21"/>
      <c r="Z910" s="21"/>
    </row>
    <row r="911" spans="1:26" ht="15.75" customHeight="1">
      <c r="A911" s="17"/>
      <c r="B911" s="18"/>
      <c r="C911" s="19"/>
      <c r="D911" s="20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21"/>
      <c r="X911" s="21"/>
      <c r="Y911" s="21"/>
      <c r="Z911" s="21"/>
    </row>
    <row r="912" spans="1:26" ht="15.75" customHeight="1">
      <c r="A912" s="17"/>
      <c r="B912" s="18"/>
      <c r="C912" s="19"/>
      <c r="D912" s="20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21"/>
      <c r="X912" s="21"/>
      <c r="Y912" s="21"/>
      <c r="Z912" s="21"/>
    </row>
    <row r="913" spans="1:26" ht="15.75" customHeight="1">
      <c r="A913" s="17"/>
      <c r="B913" s="18"/>
      <c r="C913" s="19"/>
      <c r="D913" s="20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21"/>
      <c r="X913" s="21"/>
      <c r="Y913" s="21"/>
      <c r="Z913" s="21"/>
    </row>
    <row r="914" spans="1:26" ht="15.75" customHeight="1">
      <c r="A914" s="17"/>
      <c r="B914" s="18"/>
      <c r="C914" s="19"/>
      <c r="D914" s="20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21"/>
      <c r="X914" s="21"/>
      <c r="Y914" s="21"/>
      <c r="Z914" s="21"/>
    </row>
    <row r="915" spans="1:26" ht="15.75" customHeight="1">
      <c r="A915" s="17"/>
      <c r="B915" s="18"/>
      <c r="C915" s="19"/>
      <c r="D915" s="20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21"/>
      <c r="X915" s="21"/>
      <c r="Y915" s="21"/>
      <c r="Z915" s="21"/>
    </row>
    <row r="916" spans="1:26" ht="15.75" customHeight="1">
      <c r="A916" s="17"/>
      <c r="B916" s="18"/>
      <c r="C916" s="19"/>
      <c r="D916" s="20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21"/>
      <c r="X916" s="21"/>
      <c r="Y916" s="21"/>
      <c r="Z916" s="21"/>
    </row>
    <row r="917" spans="1:26" ht="15.75" customHeight="1">
      <c r="A917" s="17"/>
      <c r="B917" s="18"/>
      <c r="C917" s="19"/>
      <c r="D917" s="20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21"/>
      <c r="X917" s="21"/>
      <c r="Y917" s="21"/>
      <c r="Z917" s="21"/>
    </row>
    <row r="918" spans="1:26" ht="15.75" customHeight="1">
      <c r="A918" s="17"/>
      <c r="B918" s="18"/>
      <c r="C918" s="19"/>
      <c r="D918" s="20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21"/>
      <c r="X918" s="21"/>
      <c r="Y918" s="21"/>
      <c r="Z918" s="21"/>
    </row>
    <row r="919" spans="1:26" ht="15.75" customHeight="1">
      <c r="A919" s="17"/>
      <c r="B919" s="18"/>
      <c r="C919" s="19"/>
      <c r="D919" s="20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21"/>
      <c r="X919" s="21"/>
      <c r="Y919" s="21"/>
      <c r="Z919" s="21"/>
    </row>
    <row r="920" spans="1:26" ht="15.75" customHeight="1">
      <c r="A920" s="17"/>
      <c r="B920" s="18"/>
      <c r="C920" s="19"/>
      <c r="D920" s="20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21"/>
      <c r="X920" s="21"/>
      <c r="Y920" s="21"/>
      <c r="Z920" s="21"/>
    </row>
    <row r="921" spans="1:26" ht="15.75" customHeight="1">
      <c r="A921" s="17"/>
      <c r="B921" s="18"/>
      <c r="C921" s="19"/>
      <c r="D921" s="20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21"/>
      <c r="X921" s="21"/>
      <c r="Y921" s="21"/>
      <c r="Z921" s="21"/>
    </row>
    <row r="922" spans="1:26" ht="15.75" customHeight="1">
      <c r="A922" s="17"/>
      <c r="B922" s="18"/>
      <c r="C922" s="19"/>
      <c r="D922" s="20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21"/>
      <c r="X922" s="21"/>
      <c r="Y922" s="21"/>
      <c r="Z922" s="21"/>
    </row>
    <row r="923" spans="1:26" ht="15.75" customHeight="1">
      <c r="A923" s="17"/>
      <c r="B923" s="18"/>
      <c r="C923" s="19"/>
      <c r="D923" s="20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21"/>
      <c r="X923" s="21"/>
      <c r="Y923" s="21"/>
      <c r="Z923" s="21"/>
    </row>
    <row r="924" spans="1:26" ht="15.75" customHeight="1">
      <c r="A924" s="17"/>
      <c r="B924" s="18"/>
      <c r="C924" s="19"/>
      <c r="D924" s="20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21"/>
      <c r="X924" s="21"/>
      <c r="Y924" s="21"/>
      <c r="Z924" s="21"/>
    </row>
    <row r="925" spans="1:26" ht="15.75" customHeight="1">
      <c r="A925" s="17"/>
      <c r="B925" s="18"/>
      <c r="C925" s="19"/>
      <c r="D925" s="20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21"/>
      <c r="X925" s="21"/>
      <c r="Y925" s="21"/>
      <c r="Z925" s="21"/>
    </row>
    <row r="926" spans="1:26" ht="15.75" customHeight="1">
      <c r="A926" s="17"/>
      <c r="B926" s="18"/>
      <c r="C926" s="19"/>
      <c r="D926" s="20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21"/>
      <c r="X926" s="21"/>
      <c r="Y926" s="21"/>
      <c r="Z926" s="21"/>
    </row>
    <row r="927" spans="1:26" ht="15.75" customHeight="1">
      <c r="A927" s="17"/>
      <c r="B927" s="18"/>
      <c r="C927" s="19"/>
      <c r="D927" s="20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21"/>
      <c r="X927" s="21"/>
      <c r="Y927" s="21"/>
      <c r="Z927" s="21"/>
    </row>
    <row r="928" spans="1:26" ht="15.75" customHeight="1">
      <c r="A928" s="17"/>
      <c r="B928" s="18"/>
      <c r="C928" s="19"/>
      <c r="D928" s="2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21"/>
      <c r="X928" s="21"/>
      <c r="Y928" s="21"/>
      <c r="Z928" s="21"/>
    </row>
    <row r="929" spans="1:26" ht="15.75" customHeight="1">
      <c r="A929" s="17"/>
      <c r="B929" s="18"/>
      <c r="C929" s="19"/>
      <c r="D929" s="20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21"/>
      <c r="X929" s="21"/>
      <c r="Y929" s="21"/>
      <c r="Z929" s="21"/>
    </row>
    <row r="930" spans="1:26" ht="15.75" customHeight="1">
      <c r="A930" s="17"/>
      <c r="B930" s="18"/>
      <c r="C930" s="19"/>
      <c r="D930" s="20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21"/>
      <c r="X930" s="21"/>
      <c r="Y930" s="21"/>
      <c r="Z930" s="21"/>
    </row>
    <row r="931" spans="1:26" ht="15.75" customHeight="1">
      <c r="A931" s="17"/>
      <c r="B931" s="18"/>
      <c r="C931" s="19"/>
      <c r="D931" s="20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21"/>
      <c r="X931" s="21"/>
      <c r="Y931" s="21"/>
      <c r="Z931" s="21"/>
    </row>
    <row r="932" spans="1:26" ht="15.75" customHeight="1">
      <c r="A932" s="17"/>
      <c r="B932" s="18"/>
      <c r="C932" s="19"/>
      <c r="D932" s="20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21"/>
      <c r="X932" s="21"/>
      <c r="Y932" s="21"/>
      <c r="Z932" s="21"/>
    </row>
    <row r="933" spans="1:26" ht="15.75" customHeight="1">
      <c r="A933" s="17"/>
      <c r="B933" s="18"/>
      <c r="C933" s="19"/>
      <c r="D933" s="20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21"/>
      <c r="X933" s="21"/>
      <c r="Y933" s="21"/>
      <c r="Z933" s="21"/>
    </row>
    <row r="934" spans="1:26" ht="15.75" customHeight="1">
      <c r="A934" s="17"/>
      <c r="B934" s="18"/>
      <c r="C934" s="19"/>
      <c r="D934" s="20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21"/>
      <c r="X934" s="21"/>
      <c r="Y934" s="21"/>
      <c r="Z934" s="21"/>
    </row>
    <row r="935" spans="1:26" ht="15.75" customHeight="1">
      <c r="A935" s="17"/>
      <c r="B935" s="18"/>
      <c r="C935" s="19"/>
      <c r="D935" s="20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21"/>
      <c r="X935" s="21"/>
      <c r="Y935" s="21"/>
      <c r="Z935" s="21"/>
    </row>
    <row r="936" spans="1:26" ht="15.75" customHeight="1">
      <c r="A936" s="17"/>
      <c r="B936" s="18"/>
      <c r="C936" s="19"/>
      <c r="D936" s="20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21"/>
      <c r="X936" s="21"/>
      <c r="Y936" s="21"/>
      <c r="Z936" s="21"/>
    </row>
    <row r="937" spans="1:26" ht="15.75" customHeight="1">
      <c r="A937" s="17"/>
      <c r="B937" s="18"/>
      <c r="C937" s="19"/>
      <c r="D937" s="20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21"/>
      <c r="X937" s="21"/>
      <c r="Y937" s="21"/>
      <c r="Z937" s="21"/>
    </row>
    <row r="938" spans="1:26" ht="15.75" customHeight="1">
      <c r="A938" s="17"/>
      <c r="B938" s="18"/>
      <c r="C938" s="19"/>
      <c r="D938" s="20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21"/>
      <c r="X938" s="21"/>
      <c r="Y938" s="21"/>
      <c r="Z938" s="21"/>
    </row>
    <row r="939" spans="1:26" ht="15.75" customHeight="1">
      <c r="A939" s="17"/>
      <c r="B939" s="18"/>
      <c r="C939" s="19"/>
      <c r="D939" s="20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21"/>
      <c r="X939" s="21"/>
      <c r="Y939" s="21"/>
      <c r="Z939" s="21"/>
    </row>
    <row r="940" spans="1:26" ht="15.75" customHeight="1">
      <c r="A940" s="17"/>
      <c r="B940" s="18"/>
      <c r="C940" s="19"/>
      <c r="D940" s="20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21"/>
      <c r="X940" s="21"/>
      <c r="Y940" s="21"/>
      <c r="Z940" s="21"/>
    </row>
    <row r="941" spans="1:26" ht="15.75" customHeight="1">
      <c r="A941" s="17"/>
      <c r="B941" s="18"/>
      <c r="C941" s="19"/>
      <c r="D941" s="20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21"/>
      <c r="X941" s="21"/>
      <c r="Y941" s="21"/>
      <c r="Z941" s="21"/>
    </row>
    <row r="942" spans="1:26" ht="15.75" customHeight="1">
      <c r="A942" s="17"/>
      <c r="B942" s="18"/>
      <c r="C942" s="19"/>
      <c r="D942" s="20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21"/>
      <c r="X942" s="21"/>
      <c r="Y942" s="21"/>
      <c r="Z942" s="21"/>
    </row>
    <row r="943" spans="1:26" ht="15.75" customHeight="1">
      <c r="A943" s="17"/>
      <c r="B943" s="18"/>
      <c r="C943" s="19"/>
      <c r="D943" s="20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21"/>
      <c r="X943" s="21"/>
      <c r="Y943" s="21"/>
      <c r="Z943" s="21"/>
    </row>
    <row r="944" spans="1:26" ht="15.75" customHeight="1">
      <c r="A944" s="17"/>
      <c r="B944" s="18"/>
      <c r="C944" s="19"/>
      <c r="D944" s="20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21"/>
      <c r="X944" s="21"/>
      <c r="Y944" s="21"/>
      <c r="Z944" s="21"/>
    </row>
    <row r="945" spans="1:26" ht="15.75" customHeight="1">
      <c r="A945" s="17"/>
      <c r="B945" s="18"/>
      <c r="C945" s="19"/>
      <c r="D945" s="20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21"/>
      <c r="X945" s="21"/>
      <c r="Y945" s="21"/>
      <c r="Z945" s="21"/>
    </row>
    <row r="946" spans="1:26" ht="15.75" customHeight="1">
      <c r="A946" s="17"/>
      <c r="B946" s="18"/>
      <c r="C946" s="19"/>
      <c r="D946" s="20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21"/>
      <c r="X946" s="21"/>
      <c r="Y946" s="21"/>
      <c r="Z946" s="21"/>
    </row>
    <row r="947" spans="1:26" ht="15.75" customHeight="1">
      <c r="A947" s="17"/>
      <c r="B947" s="18"/>
      <c r="C947" s="19"/>
      <c r="D947" s="20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21"/>
      <c r="X947" s="21"/>
      <c r="Y947" s="21"/>
      <c r="Z947" s="21"/>
    </row>
    <row r="948" spans="1:26" ht="15.75" customHeight="1">
      <c r="A948" s="17"/>
      <c r="B948" s="18"/>
      <c r="C948" s="19"/>
      <c r="D948" s="20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21"/>
      <c r="X948" s="21"/>
      <c r="Y948" s="21"/>
      <c r="Z948" s="21"/>
    </row>
    <row r="949" spans="1:26" ht="15.75" customHeight="1">
      <c r="A949" s="17"/>
      <c r="B949" s="18"/>
      <c r="C949" s="19"/>
      <c r="D949" s="20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21"/>
      <c r="X949" s="21"/>
      <c r="Y949" s="21"/>
      <c r="Z949" s="21"/>
    </row>
    <row r="950" spans="1:26" ht="15.75" customHeight="1">
      <c r="A950" s="17"/>
      <c r="B950" s="18"/>
      <c r="C950" s="19"/>
      <c r="D950" s="20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21"/>
      <c r="X950" s="21"/>
      <c r="Y950" s="21"/>
      <c r="Z950" s="21"/>
    </row>
    <row r="951" spans="1:26" ht="15.75" customHeight="1">
      <c r="A951" s="17"/>
      <c r="B951" s="18"/>
      <c r="C951" s="19"/>
      <c r="D951" s="20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21"/>
      <c r="X951" s="21"/>
      <c r="Y951" s="21"/>
      <c r="Z951" s="21"/>
    </row>
    <row r="952" spans="1:26" ht="15.75" customHeight="1">
      <c r="A952" s="17"/>
      <c r="B952" s="18"/>
      <c r="C952" s="19"/>
      <c r="D952" s="20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21"/>
      <c r="X952" s="21"/>
      <c r="Y952" s="21"/>
      <c r="Z952" s="21"/>
    </row>
    <row r="953" spans="1:26" ht="15.75" customHeight="1">
      <c r="A953" s="17"/>
      <c r="B953" s="18"/>
      <c r="C953" s="19"/>
      <c r="D953" s="20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21"/>
      <c r="X953" s="21"/>
      <c r="Y953" s="21"/>
      <c r="Z953" s="21"/>
    </row>
    <row r="954" spans="1:26" ht="15.75" customHeight="1">
      <c r="A954" s="17"/>
      <c r="B954" s="18"/>
      <c r="C954" s="19"/>
      <c r="D954" s="20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21"/>
      <c r="X954" s="21"/>
      <c r="Y954" s="21"/>
      <c r="Z954" s="21"/>
    </row>
    <row r="955" spans="1:26" ht="15.75" customHeight="1">
      <c r="A955" s="17"/>
      <c r="B955" s="18"/>
      <c r="C955" s="19"/>
      <c r="D955" s="20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21"/>
      <c r="X955" s="21"/>
      <c r="Y955" s="21"/>
      <c r="Z955" s="21"/>
    </row>
    <row r="956" spans="1:26" ht="15.75" customHeight="1">
      <c r="A956" s="17"/>
      <c r="B956" s="18"/>
      <c r="C956" s="19"/>
      <c r="D956" s="20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21"/>
      <c r="X956" s="21"/>
      <c r="Y956" s="21"/>
      <c r="Z956" s="21"/>
    </row>
    <row r="957" spans="1:26" ht="15.75" customHeight="1">
      <c r="A957" s="17"/>
      <c r="B957" s="18"/>
      <c r="C957" s="19"/>
      <c r="D957" s="20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21"/>
      <c r="X957" s="21"/>
      <c r="Y957" s="21"/>
      <c r="Z957" s="21"/>
    </row>
    <row r="958" spans="1:26" ht="15.75" customHeight="1">
      <c r="A958" s="17"/>
      <c r="B958" s="18"/>
      <c r="C958" s="19"/>
      <c r="D958" s="20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21"/>
      <c r="X958" s="21"/>
      <c r="Y958" s="21"/>
      <c r="Z958" s="21"/>
    </row>
    <row r="959" spans="1:26" ht="15.75" customHeight="1">
      <c r="A959" s="17"/>
      <c r="B959" s="18"/>
      <c r="C959" s="19"/>
      <c r="D959" s="20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21"/>
      <c r="X959" s="21"/>
      <c r="Y959" s="21"/>
      <c r="Z959" s="21"/>
    </row>
    <row r="960" spans="1:26" ht="15.75" customHeight="1">
      <c r="A960" s="17"/>
      <c r="B960" s="18"/>
      <c r="C960" s="19"/>
      <c r="D960" s="20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21"/>
      <c r="X960" s="21"/>
      <c r="Y960" s="21"/>
      <c r="Z960" s="21"/>
    </row>
    <row r="961" spans="1:26" ht="15.75" customHeight="1">
      <c r="A961" s="17"/>
      <c r="B961" s="18"/>
      <c r="C961" s="19"/>
      <c r="D961" s="20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21"/>
      <c r="X961" s="21"/>
      <c r="Y961" s="21"/>
      <c r="Z961" s="21"/>
    </row>
    <row r="962" spans="1:26" ht="15.75" customHeight="1">
      <c r="A962" s="17"/>
      <c r="B962" s="18"/>
      <c r="C962" s="19"/>
      <c r="D962" s="20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21"/>
      <c r="X962" s="21"/>
      <c r="Y962" s="21"/>
      <c r="Z962" s="21"/>
    </row>
    <row r="963" spans="1:26" ht="15.75" customHeight="1">
      <c r="A963" s="17"/>
      <c r="B963" s="18"/>
      <c r="C963" s="19"/>
      <c r="D963" s="20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21"/>
      <c r="X963" s="21"/>
      <c r="Y963" s="21"/>
      <c r="Z963" s="21"/>
    </row>
    <row r="964" spans="1:26" ht="15.75" customHeight="1">
      <c r="A964" s="17"/>
      <c r="B964" s="18"/>
      <c r="C964" s="19"/>
      <c r="D964" s="20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21"/>
      <c r="X964" s="21"/>
      <c r="Y964" s="21"/>
      <c r="Z964" s="21"/>
    </row>
    <row r="965" spans="1:26" ht="15.75" customHeight="1">
      <c r="A965" s="17"/>
      <c r="B965" s="18"/>
      <c r="C965" s="19"/>
      <c r="D965" s="20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21"/>
      <c r="X965" s="21"/>
      <c r="Y965" s="21"/>
      <c r="Z965" s="21"/>
    </row>
    <row r="966" spans="1:26" ht="15.75" customHeight="1">
      <c r="A966" s="17"/>
      <c r="B966" s="18"/>
      <c r="C966" s="19"/>
      <c r="D966" s="20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21"/>
      <c r="X966" s="21"/>
      <c r="Y966" s="21"/>
      <c r="Z966" s="21"/>
    </row>
    <row r="967" spans="1:26" ht="15.75" customHeight="1">
      <c r="A967" s="17"/>
      <c r="B967" s="18"/>
      <c r="C967" s="19"/>
      <c r="D967" s="20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21"/>
      <c r="X967" s="21"/>
      <c r="Y967" s="21"/>
      <c r="Z967" s="21"/>
    </row>
    <row r="968" spans="1:26" ht="15.75" customHeight="1">
      <c r="A968" s="17"/>
      <c r="B968" s="18"/>
      <c r="C968" s="19"/>
      <c r="D968" s="20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21"/>
      <c r="X968" s="21"/>
      <c r="Y968" s="21"/>
      <c r="Z968" s="21"/>
    </row>
    <row r="969" spans="1:26" ht="15.75" customHeight="1">
      <c r="A969" s="17"/>
      <c r="B969" s="18"/>
      <c r="C969" s="19"/>
      <c r="D969" s="20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21"/>
      <c r="X969" s="21"/>
      <c r="Y969" s="21"/>
      <c r="Z969" s="21"/>
    </row>
    <row r="970" spans="1:26" ht="15.75" customHeight="1">
      <c r="A970" s="17"/>
      <c r="B970" s="18"/>
      <c r="C970" s="19"/>
      <c r="D970" s="20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21"/>
      <c r="X970" s="21"/>
      <c r="Y970" s="21"/>
      <c r="Z970" s="21"/>
    </row>
    <row r="971" spans="1:26" ht="15.75" customHeight="1">
      <c r="A971" s="17"/>
      <c r="B971" s="18"/>
      <c r="C971" s="19"/>
      <c r="D971" s="20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21"/>
      <c r="X971" s="21"/>
      <c r="Y971" s="21"/>
      <c r="Z971" s="21"/>
    </row>
    <row r="972" spans="1:26" ht="15.75" customHeight="1">
      <c r="A972" s="17"/>
      <c r="B972" s="18"/>
      <c r="C972" s="19"/>
      <c r="D972" s="20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21"/>
      <c r="X972" s="21"/>
      <c r="Y972" s="21"/>
      <c r="Z972" s="21"/>
    </row>
    <row r="973" spans="1:26" ht="15.75" customHeight="1">
      <c r="A973" s="17"/>
      <c r="B973" s="18"/>
      <c r="C973" s="19"/>
      <c r="D973" s="20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21"/>
      <c r="X973" s="21"/>
      <c r="Y973" s="21"/>
      <c r="Z973" s="21"/>
    </row>
    <row r="974" spans="1:26" ht="15.75" customHeight="1">
      <c r="A974" s="17"/>
      <c r="B974" s="18"/>
      <c r="C974" s="19"/>
      <c r="D974" s="20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21"/>
      <c r="X974" s="21"/>
      <c r="Y974" s="21"/>
      <c r="Z974" s="21"/>
    </row>
    <row r="975" spans="1:26" ht="15.75" customHeight="1">
      <c r="A975" s="17"/>
      <c r="B975" s="18"/>
      <c r="C975" s="19"/>
      <c r="D975" s="20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21"/>
      <c r="X975" s="21"/>
      <c r="Y975" s="21"/>
      <c r="Z975" s="21"/>
    </row>
    <row r="976" spans="1:26" ht="15.75" customHeight="1">
      <c r="A976" s="17"/>
      <c r="B976" s="18"/>
      <c r="C976" s="19"/>
      <c r="D976" s="20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21"/>
      <c r="X976" s="21"/>
      <c r="Y976" s="21"/>
      <c r="Z976" s="21"/>
    </row>
    <row r="977" spans="1:26" ht="15.75" customHeight="1">
      <c r="A977" s="17"/>
      <c r="B977" s="18"/>
      <c r="C977" s="19"/>
      <c r="D977" s="20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21"/>
      <c r="X977" s="21"/>
      <c r="Y977" s="21"/>
      <c r="Z977" s="21"/>
    </row>
    <row r="978" spans="1:26" ht="15.75" customHeight="1">
      <c r="A978" s="17"/>
      <c r="B978" s="18"/>
      <c r="C978" s="19"/>
      <c r="D978" s="20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21"/>
      <c r="X978" s="21"/>
      <c r="Y978" s="21"/>
      <c r="Z978" s="21"/>
    </row>
    <row r="979" spans="1:26" ht="15.75" customHeight="1">
      <c r="A979" s="17"/>
      <c r="B979" s="18"/>
      <c r="C979" s="19"/>
      <c r="D979" s="20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21"/>
      <c r="X979" s="21"/>
      <c r="Y979" s="21"/>
      <c r="Z979" s="21"/>
    </row>
    <row r="980" spans="1:26" ht="15.75" customHeight="1">
      <c r="A980" s="17"/>
      <c r="B980" s="18"/>
      <c r="C980" s="19"/>
      <c r="D980" s="20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21"/>
      <c r="X980" s="21"/>
      <c r="Y980" s="21"/>
      <c r="Z980" s="21"/>
    </row>
    <row r="981" spans="1:26" ht="15.75" customHeight="1">
      <c r="A981" s="17"/>
      <c r="B981" s="18"/>
      <c r="C981" s="19"/>
      <c r="D981" s="20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21"/>
      <c r="X981" s="21"/>
      <c r="Y981" s="21"/>
      <c r="Z981" s="21"/>
    </row>
    <row r="982" spans="1:26" ht="15.75" customHeight="1">
      <c r="A982" s="17"/>
      <c r="B982" s="18"/>
      <c r="C982" s="19"/>
      <c r="D982" s="20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21"/>
      <c r="X982" s="21"/>
      <c r="Y982" s="21"/>
      <c r="Z982" s="21"/>
    </row>
    <row r="983" spans="1:26" ht="15.75" customHeight="1">
      <c r="A983" s="17"/>
      <c r="B983" s="18"/>
      <c r="C983" s="19"/>
      <c r="D983" s="20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21"/>
      <c r="X983" s="21"/>
      <c r="Y983" s="21"/>
      <c r="Z983" s="21"/>
    </row>
    <row r="984" spans="1:26" ht="15.75" customHeight="1">
      <c r="A984" s="17"/>
      <c r="B984" s="18"/>
      <c r="C984" s="19"/>
      <c r="D984" s="20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21"/>
      <c r="X984" s="21"/>
      <c r="Y984" s="21"/>
      <c r="Z984" s="21"/>
    </row>
    <row r="985" spans="1:26" ht="15.75" customHeight="1">
      <c r="A985" s="17"/>
      <c r="B985" s="18"/>
      <c r="C985" s="19"/>
      <c r="D985" s="20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21"/>
      <c r="X985" s="21"/>
      <c r="Y985" s="21"/>
      <c r="Z985" s="21"/>
    </row>
    <row r="986" spans="1:26" ht="15.75" customHeight="1">
      <c r="A986" s="17"/>
      <c r="B986" s="18"/>
      <c r="C986" s="19"/>
      <c r="D986" s="20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21"/>
      <c r="X986" s="21"/>
      <c r="Y986" s="21"/>
      <c r="Z986" s="21"/>
    </row>
    <row r="987" spans="1:26" ht="15.75" customHeight="1">
      <c r="A987" s="17"/>
      <c r="B987" s="18"/>
      <c r="C987" s="19"/>
      <c r="D987" s="20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21"/>
      <c r="X987" s="21"/>
      <c r="Y987" s="21"/>
      <c r="Z987" s="21"/>
    </row>
    <row r="988" spans="1:26" ht="15.75" customHeight="1">
      <c r="A988" s="17"/>
      <c r="B988" s="18"/>
      <c r="C988" s="19"/>
      <c r="D988" s="20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21"/>
      <c r="X988" s="21"/>
      <c r="Y988" s="21"/>
      <c r="Z988" s="21"/>
    </row>
    <row r="989" spans="1:26" ht="15.75" customHeight="1">
      <c r="A989" s="17"/>
      <c r="B989" s="18"/>
      <c r="C989" s="19"/>
      <c r="D989" s="20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21"/>
      <c r="X989" s="21"/>
      <c r="Y989" s="21"/>
      <c r="Z989" s="21"/>
    </row>
    <row r="990" spans="1:26" ht="15.75" customHeight="1">
      <c r="A990" s="17"/>
      <c r="B990" s="18"/>
      <c r="C990" s="19"/>
      <c r="D990" s="20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21"/>
      <c r="X990" s="21"/>
      <c r="Y990" s="21"/>
      <c r="Z990" s="21"/>
    </row>
    <row r="991" spans="1:26" ht="15.75" customHeight="1">
      <c r="A991" s="17"/>
      <c r="B991" s="18"/>
      <c r="C991" s="19"/>
      <c r="D991" s="20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21"/>
      <c r="X991" s="21"/>
      <c r="Y991" s="21"/>
      <c r="Z991" s="21"/>
    </row>
    <row r="992" spans="1:26" ht="15.75" customHeight="1">
      <c r="A992" s="17"/>
      <c r="B992" s="18"/>
      <c r="C992" s="19"/>
      <c r="D992" s="20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21"/>
      <c r="X992" s="21"/>
      <c r="Y992" s="21"/>
      <c r="Z992" s="21"/>
    </row>
    <row r="993" spans="1:26" ht="15.75" customHeight="1">
      <c r="A993" s="17"/>
      <c r="B993" s="18"/>
      <c r="C993" s="19"/>
      <c r="D993" s="20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21"/>
      <c r="X993" s="21"/>
      <c r="Y993" s="21"/>
      <c r="Z993" s="21"/>
    </row>
    <row r="994" spans="1:26" ht="15.75" customHeight="1">
      <c r="A994" s="17"/>
      <c r="B994" s="18"/>
      <c r="C994" s="19"/>
      <c r="D994" s="20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21"/>
      <c r="X994" s="21"/>
      <c r="Y994" s="21"/>
      <c r="Z994" s="21"/>
    </row>
    <row r="995" spans="1:26" ht="15.75" customHeight="1">
      <c r="A995" s="17"/>
      <c r="B995" s="18"/>
      <c r="C995" s="19"/>
      <c r="D995" s="20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21"/>
      <c r="X995" s="21"/>
      <c r="Y995" s="21"/>
      <c r="Z995" s="21"/>
    </row>
  </sheetData>
  <mergeCells count="21">
    <mergeCell ref="E21:F21"/>
    <mergeCell ref="E2:G2"/>
    <mergeCell ref="E5:F5"/>
    <mergeCell ref="E9:F9"/>
    <mergeCell ref="E13:F13"/>
    <mergeCell ref="E14:F14"/>
    <mergeCell ref="E16:F16"/>
    <mergeCell ref="E20:F20"/>
    <mergeCell ref="E102:F102"/>
    <mergeCell ref="E103:F103"/>
    <mergeCell ref="E104:F104"/>
    <mergeCell ref="E105:F105"/>
    <mergeCell ref="E29:F29"/>
    <mergeCell ref="E32:F32"/>
    <mergeCell ref="E41:F41"/>
    <mergeCell ref="E62:F62"/>
    <mergeCell ref="E68:F68"/>
    <mergeCell ref="E89:F89"/>
    <mergeCell ref="E101:F101"/>
    <mergeCell ref="E60:F60"/>
    <mergeCell ref="E61:F61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workbookViewId="0">
      <selection activeCell="A2" sqref="A2"/>
    </sheetView>
  </sheetViews>
  <sheetFormatPr defaultColWidth="12.625" defaultRowHeight="15" customHeight="1"/>
  <sheetData>
    <row r="1" spans="1:9" thickBot="1">
      <c r="A1" s="22" t="s">
        <v>13</v>
      </c>
      <c r="B1" s="23" t="s">
        <v>14</v>
      </c>
      <c r="C1" s="23" t="s">
        <v>15</v>
      </c>
      <c r="D1" s="6" t="s">
        <v>131</v>
      </c>
      <c r="E1" s="446" t="s">
        <v>132</v>
      </c>
      <c r="F1" s="447"/>
      <c r="G1" s="448"/>
      <c r="H1" s="24" t="s">
        <v>133</v>
      </c>
      <c r="I1" s="25" t="s">
        <v>134</v>
      </c>
    </row>
    <row r="2" spans="1:9" ht="18" customHeight="1" thickBot="1">
      <c r="A2" s="26">
        <v>1</v>
      </c>
      <c r="B2" s="42">
        <v>9000734304</v>
      </c>
      <c r="C2" s="27"/>
      <c r="D2" s="28" t="s">
        <v>179</v>
      </c>
      <c r="E2" s="29">
        <v>220</v>
      </c>
      <c r="F2" s="30">
        <v>230</v>
      </c>
      <c r="G2" s="30">
        <v>20</v>
      </c>
      <c r="H2" s="31">
        <f t="shared" ref="H2:H6" si="0">+E2*F2*G2*7.85/1000000</f>
        <v>7.9442000000000004</v>
      </c>
      <c r="I2" s="32">
        <f>H2*90</f>
        <v>714.97800000000007</v>
      </c>
    </row>
    <row r="3" spans="1:9" ht="18" customHeight="1" thickBot="1">
      <c r="A3" s="26">
        <v>2</v>
      </c>
      <c r="B3" s="42">
        <v>9000734304</v>
      </c>
      <c r="C3" s="27"/>
      <c r="D3" s="28" t="s">
        <v>179</v>
      </c>
      <c r="E3" s="29">
        <v>325</v>
      </c>
      <c r="F3" s="30">
        <v>200</v>
      </c>
      <c r="G3" s="30">
        <v>16</v>
      </c>
      <c r="H3" s="31">
        <f t="shared" si="0"/>
        <v>8.1639999999999997</v>
      </c>
      <c r="I3" s="32">
        <f t="shared" ref="I3:I7" si="1">H3*90</f>
        <v>734.76</v>
      </c>
    </row>
    <row r="4" spans="1:9" ht="18" customHeight="1" thickBot="1">
      <c r="A4" s="26">
        <v>3</v>
      </c>
      <c r="B4" s="42">
        <v>9000734304</v>
      </c>
      <c r="C4" s="27"/>
      <c r="D4" s="28" t="s">
        <v>179</v>
      </c>
      <c r="E4" s="29">
        <v>325</v>
      </c>
      <c r="F4" s="30">
        <v>200</v>
      </c>
      <c r="G4" s="30">
        <v>16</v>
      </c>
      <c r="H4" s="31">
        <f t="shared" si="0"/>
        <v>8.1639999999999997</v>
      </c>
      <c r="I4" s="32">
        <f t="shared" si="1"/>
        <v>734.76</v>
      </c>
    </row>
    <row r="5" spans="1:9" ht="18" customHeight="1" thickBot="1">
      <c r="A5" s="35">
        <v>4</v>
      </c>
      <c r="B5" s="42">
        <v>9000734304</v>
      </c>
      <c r="C5" s="36"/>
      <c r="D5" s="28" t="s">
        <v>179</v>
      </c>
      <c r="E5" s="43">
        <v>80</v>
      </c>
      <c r="F5" s="44">
        <v>120</v>
      </c>
      <c r="G5" s="37">
        <v>16</v>
      </c>
      <c r="H5" s="31">
        <f t="shared" si="0"/>
        <v>1.2057599999999999</v>
      </c>
      <c r="I5" s="32">
        <f t="shared" si="1"/>
        <v>108.5184</v>
      </c>
    </row>
    <row r="6" spans="1:9" ht="18" customHeight="1" thickBot="1">
      <c r="A6" s="35">
        <v>5</v>
      </c>
      <c r="B6" s="42">
        <v>9000734304</v>
      </c>
      <c r="C6" s="36"/>
      <c r="D6" s="28" t="s">
        <v>179</v>
      </c>
      <c r="E6" s="39">
        <v>45</v>
      </c>
      <c r="F6" s="40">
        <v>70</v>
      </c>
      <c r="G6" s="40">
        <v>25</v>
      </c>
      <c r="H6" s="31">
        <f t="shared" si="0"/>
        <v>0.6181875</v>
      </c>
      <c r="I6" s="32">
        <f t="shared" si="1"/>
        <v>55.636875000000003</v>
      </c>
    </row>
    <row r="7" spans="1:9" ht="18" customHeight="1" thickBot="1">
      <c r="A7" s="35">
        <v>7</v>
      </c>
      <c r="B7" s="42">
        <v>9000734304</v>
      </c>
      <c r="C7" s="36"/>
      <c r="D7" s="28" t="s">
        <v>179</v>
      </c>
      <c r="E7" s="449">
        <v>365</v>
      </c>
      <c r="F7" s="411"/>
      <c r="G7" s="40">
        <v>20</v>
      </c>
      <c r="H7" s="41">
        <f>+E7*E7*3.14/4*G7*8/1000000</f>
        <v>16.733059999999998</v>
      </c>
      <c r="I7" s="32">
        <f t="shared" si="1"/>
        <v>1505.9753999999998</v>
      </c>
    </row>
    <row r="8" spans="1:9" ht="14.25">
      <c r="H8" s="490">
        <f>SUM(H2:H7)</f>
        <v>42.829207499999995</v>
      </c>
      <c r="I8" s="32">
        <f>SUM(I2:I7)</f>
        <v>3854.6286749999999</v>
      </c>
    </row>
  </sheetData>
  <mergeCells count="2">
    <mergeCell ref="E1:G1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workbookViewId="0">
      <selection activeCell="J4" sqref="J1:AC1048576"/>
    </sheetView>
  </sheetViews>
  <sheetFormatPr defaultColWidth="12.625" defaultRowHeight="15" customHeight="1"/>
  <sheetData>
    <row r="1" spans="1:9" thickBot="1">
      <c r="A1" s="22" t="s">
        <v>13</v>
      </c>
      <c r="B1" s="23" t="s">
        <v>14</v>
      </c>
      <c r="C1" s="23" t="s">
        <v>15</v>
      </c>
      <c r="D1" s="6" t="s">
        <v>131</v>
      </c>
      <c r="E1" s="446" t="s">
        <v>132</v>
      </c>
      <c r="F1" s="447"/>
      <c r="G1" s="448"/>
      <c r="H1" s="24" t="s">
        <v>133</v>
      </c>
      <c r="I1" s="25" t="s">
        <v>134</v>
      </c>
    </row>
    <row r="2" spans="1:9" ht="18" customHeight="1" thickBot="1">
      <c r="A2" s="26">
        <v>1</v>
      </c>
      <c r="B2" s="42">
        <v>9000745203</v>
      </c>
      <c r="C2" s="27"/>
      <c r="D2" s="28" t="s">
        <v>149</v>
      </c>
      <c r="E2" s="29">
        <v>225</v>
      </c>
      <c r="F2" s="30">
        <v>110</v>
      </c>
      <c r="G2" s="30">
        <v>20</v>
      </c>
      <c r="H2" s="31">
        <f t="shared" ref="H2:H4" si="0">+E2*F2*G2*7.85/1000000</f>
        <v>3.8857499999999998</v>
      </c>
      <c r="I2" s="32">
        <f>H2*90</f>
        <v>349.71749999999997</v>
      </c>
    </row>
    <row r="3" spans="1:9" ht="18" customHeight="1" thickBot="1">
      <c r="A3" s="26">
        <v>2</v>
      </c>
      <c r="B3" s="42">
        <v>9000745203</v>
      </c>
      <c r="C3" s="27"/>
      <c r="D3" s="28"/>
      <c r="E3" s="29">
        <v>185</v>
      </c>
      <c r="F3" s="30">
        <v>110</v>
      </c>
      <c r="G3" s="30">
        <v>30</v>
      </c>
      <c r="H3" s="31">
        <f t="shared" si="0"/>
        <v>4.7924249999999997</v>
      </c>
      <c r="I3" s="32">
        <f t="shared" ref="I3:I4" si="1">H3*90</f>
        <v>431.31824999999998</v>
      </c>
    </row>
    <row r="4" spans="1:9" ht="18" customHeight="1" thickBot="1">
      <c r="A4" s="26">
        <v>3</v>
      </c>
      <c r="B4" s="42">
        <v>9000745203</v>
      </c>
      <c r="C4" s="27"/>
      <c r="D4" s="34"/>
      <c r="E4" s="29">
        <v>55</v>
      </c>
      <c r="F4" s="30">
        <v>100</v>
      </c>
      <c r="G4" s="30">
        <v>16</v>
      </c>
      <c r="H4" s="31">
        <f t="shared" si="0"/>
        <v>0.69079999999999997</v>
      </c>
      <c r="I4" s="32">
        <f t="shared" si="1"/>
        <v>62.171999999999997</v>
      </c>
    </row>
    <row r="5" spans="1:9" ht="18" customHeight="1" thickBot="1">
      <c r="A5" s="35"/>
      <c r="B5" s="42"/>
      <c r="C5" s="36"/>
      <c r="D5" s="28"/>
      <c r="E5" s="43"/>
      <c r="F5" s="44"/>
      <c r="G5" s="37"/>
      <c r="H5" s="38"/>
      <c r="I5" s="32"/>
    </row>
    <row r="6" spans="1:9" ht="18" customHeight="1" thickBot="1">
      <c r="A6" s="35"/>
      <c r="B6" s="42"/>
      <c r="C6" s="36"/>
      <c r="D6" s="28"/>
      <c r="E6" s="39"/>
      <c r="F6" s="40"/>
      <c r="G6" s="40"/>
      <c r="H6" s="41"/>
      <c r="I6" s="32"/>
    </row>
    <row r="7" spans="1:9" ht="18" customHeight="1" thickBot="1">
      <c r="A7" s="35"/>
      <c r="B7" s="42"/>
      <c r="C7" s="36"/>
      <c r="D7" s="28"/>
      <c r="E7" s="449"/>
      <c r="F7" s="411"/>
      <c r="G7" s="40"/>
      <c r="H7" s="41"/>
      <c r="I7" s="32"/>
    </row>
    <row r="8" spans="1:9" ht="14.25">
      <c r="I8" s="32"/>
    </row>
  </sheetData>
  <mergeCells count="2">
    <mergeCell ref="E1:G1"/>
    <mergeCell ref="E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topLeftCell="I1" workbookViewId="0">
      <selection activeCell="J2" sqref="J1:Z1048576"/>
    </sheetView>
  </sheetViews>
  <sheetFormatPr defaultColWidth="12.625" defaultRowHeight="15" customHeight="1"/>
  <sheetData>
    <row r="1" spans="1:9" thickBot="1">
      <c r="A1" s="22" t="s">
        <v>13</v>
      </c>
      <c r="B1" s="23" t="s">
        <v>14</v>
      </c>
      <c r="C1" s="23" t="s">
        <v>15</v>
      </c>
      <c r="D1" s="6" t="s">
        <v>131</v>
      </c>
      <c r="E1" s="446" t="s">
        <v>132</v>
      </c>
      <c r="F1" s="447"/>
      <c r="G1" s="448"/>
      <c r="H1" s="24" t="s">
        <v>133</v>
      </c>
      <c r="I1" s="25" t="s">
        <v>134</v>
      </c>
    </row>
    <row r="2" spans="1:9" ht="18" customHeight="1" thickBot="1">
      <c r="A2" s="26">
        <v>1</v>
      </c>
      <c r="B2" s="42">
        <v>9000745203</v>
      </c>
      <c r="C2" s="27"/>
      <c r="D2" s="28" t="s">
        <v>150</v>
      </c>
      <c r="E2" s="29">
        <v>310</v>
      </c>
      <c r="F2" s="30">
        <v>120</v>
      </c>
      <c r="G2" s="30">
        <v>25</v>
      </c>
      <c r="H2" s="31">
        <f t="shared" ref="H2:H4" si="0">+E2*F2*G2*7.85/1000000</f>
        <v>7.3005000000000004</v>
      </c>
      <c r="I2" s="32">
        <f>H2*90</f>
        <v>657.04500000000007</v>
      </c>
    </row>
    <row r="3" spans="1:9" ht="18" customHeight="1" thickBot="1">
      <c r="A3" s="26">
        <v>2</v>
      </c>
      <c r="B3" s="42">
        <v>9000745203</v>
      </c>
      <c r="C3" s="27"/>
      <c r="D3" s="28" t="s">
        <v>150</v>
      </c>
      <c r="E3" s="29">
        <v>130</v>
      </c>
      <c r="F3" s="30">
        <v>85</v>
      </c>
      <c r="G3" s="30">
        <v>12</v>
      </c>
      <c r="H3" s="31">
        <f t="shared" si="0"/>
        <v>1.04091</v>
      </c>
      <c r="I3" s="32">
        <f t="shared" ref="I3:I4" si="1">H3*90</f>
        <v>93.681899999999999</v>
      </c>
    </row>
    <row r="4" spans="1:9" ht="18" customHeight="1" thickBot="1">
      <c r="A4" s="26">
        <v>3</v>
      </c>
      <c r="B4" s="42">
        <v>9000745203</v>
      </c>
      <c r="C4" s="27"/>
      <c r="D4" s="34" t="s">
        <v>150</v>
      </c>
      <c r="E4" s="29">
        <v>35</v>
      </c>
      <c r="F4" s="30">
        <v>85</v>
      </c>
      <c r="G4" s="30">
        <v>12</v>
      </c>
      <c r="H4" s="31">
        <f t="shared" si="0"/>
        <v>0.28024500000000002</v>
      </c>
      <c r="I4" s="32">
        <f t="shared" si="1"/>
        <v>25.222050000000003</v>
      </c>
    </row>
    <row r="5" spans="1:9" ht="18" customHeight="1" thickBot="1">
      <c r="A5" s="35"/>
      <c r="B5" s="42"/>
      <c r="C5" s="36"/>
      <c r="D5" s="28"/>
      <c r="E5" s="43"/>
      <c r="F5" s="44"/>
      <c r="G5" s="37"/>
      <c r="H5" s="38"/>
      <c r="I5" s="32"/>
    </row>
    <row r="6" spans="1:9" ht="18" customHeight="1" thickBot="1">
      <c r="A6" s="35"/>
      <c r="B6" s="42"/>
      <c r="C6" s="36"/>
      <c r="D6" s="28"/>
      <c r="E6" s="39"/>
      <c r="F6" s="40"/>
      <c r="G6" s="40"/>
      <c r="H6" s="41"/>
      <c r="I6" s="32"/>
    </row>
    <row r="7" spans="1:9" ht="18" customHeight="1" thickBot="1">
      <c r="A7" s="35"/>
      <c r="B7" s="42"/>
      <c r="C7" s="36"/>
      <c r="D7" s="28"/>
      <c r="E7" s="449"/>
      <c r="F7" s="411"/>
      <c r="G7" s="40"/>
      <c r="H7" s="41"/>
      <c r="I7" s="32"/>
    </row>
    <row r="8" spans="1:9" ht="14.25">
      <c r="I8" s="32"/>
    </row>
  </sheetData>
  <mergeCells count="2">
    <mergeCell ref="E1:G1"/>
    <mergeCell ref="E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workbookViewId="0">
      <selection activeCell="A2" sqref="A2"/>
    </sheetView>
  </sheetViews>
  <sheetFormatPr defaultColWidth="12.625" defaultRowHeight="15" customHeight="1"/>
  <sheetData>
    <row r="1" spans="1:9" thickBot="1">
      <c r="A1" s="22" t="s">
        <v>13</v>
      </c>
      <c r="B1" s="23" t="s">
        <v>14</v>
      </c>
      <c r="C1" s="23" t="s">
        <v>15</v>
      </c>
      <c r="D1" s="6" t="s">
        <v>131</v>
      </c>
      <c r="E1" s="446" t="s">
        <v>132</v>
      </c>
      <c r="F1" s="447"/>
      <c r="G1" s="448"/>
      <c r="H1" s="24" t="s">
        <v>133</v>
      </c>
      <c r="I1" s="25" t="s">
        <v>134</v>
      </c>
    </row>
    <row r="2" spans="1:9" ht="18" customHeight="1" thickBot="1">
      <c r="A2" s="26">
        <v>1</v>
      </c>
      <c r="B2" s="42">
        <v>9000745203</v>
      </c>
      <c r="C2" s="27"/>
      <c r="D2" s="28" t="s">
        <v>150</v>
      </c>
      <c r="E2" s="29">
        <v>110</v>
      </c>
      <c r="F2" s="30">
        <v>40</v>
      </c>
      <c r="G2" s="30">
        <v>8</v>
      </c>
      <c r="H2" s="31">
        <f t="shared" ref="H2:H3" si="0">+E2*F2*G2*7.85/1000000</f>
        <v>0.27632000000000001</v>
      </c>
      <c r="I2" s="32">
        <f>H2*90</f>
        <v>24.8688</v>
      </c>
    </row>
    <row r="3" spans="1:9" ht="18" customHeight="1" thickBot="1">
      <c r="A3" s="26">
        <v>2</v>
      </c>
      <c r="B3" s="42">
        <v>9000745203</v>
      </c>
      <c r="C3" s="27"/>
      <c r="D3" s="28" t="s">
        <v>150</v>
      </c>
      <c r="E3" s="29">
        <v>100</v>
      </c>
      <c r="F3" s="30">
        <v>40</v>
      </c>
      <c r="G3" s="30">
        <v>8</v>
      </c>
      <c r="H3" s="31">
        <f t="shared" si="0"/>
        <v>0.25119999999999998</v>
      </c>
      <c r="I3" s="32">
        <f>H3*90</f>
        <v>22.607999999999997</v>
      </c>
    </row>
    <row r="4" spans="1:9" ht="18" customHeight="1" thickBot="1">
      <c r="A4" s="26"/>
      <c r="B4" s="42"/>
      <c r="C4" s="27"/>
      <c r="D4" s="34"/>
      <c r="E4" s="29"/>
      <c r="F4" s="30"/>
      <c r="G4" s="30"/>
      <c r="H4" s="31"/>
      <c r="I4" s="32"/>
    </row>
    <row r="5" spans="1:9" ht="18" customHeight="1" thickBot="1">
      <c r="A5" s="35"/>
      <c r="B5" s="42"/>
      <c r="C5" s="36"/>
      <c r="D5" s="28"/>
      <c r="E5" s="43"/>
      <c r="F5" s="44"/>
      <c r="G5" s="37"/>
      <c r="H5" s="38"/>
      <c r="I5" s="32"/>
    </row>
    <row r="6" spans="1:9" ht="18" customHeight="1" thickBot="1">
      <c r="A6" s="35"/>
      <c r="B6" s="42"/>
      <c r="C6" s="36"/>
      <c r="D6" s="28"/>
      <c r="E6" s="39"/>
      <c r="F6" s="40"/>
      <c r="G6" s="40"/>
      <c r="H6" s="41"/>
      <c r="I6" s="32"/>
    </row>
    <row r="7" spans="1:9" ht="18" customHeight="1" thickBot="1">
      <c r="A7" s="35"/>
      <c r="B7" s="42"/>
      <c r="C7" s="36"/>
      <c r="D7" s="28"/>
      <c r="E7" s="449"/>
      <c r="F7" s="411"/>
      <c r="G7" s="40"/>
      <c r="H7" s="41"/>
      <c r="I7" s="32"/>
    </row>
    <row r="8" spans="1:9" ht="14.25">
      <c r="I8" s="32"/>
    </row>
  </sheetData>
  <mergeCells count="2">
    <mergeCell ref="E1:G1"/>
    <mergeCell ref="E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workbookViewId="0"/>
  </sheetViews>
  <sheetFormatPr defaultColWidth="12.625" defaultRowHeight="15" customHeight="1"/>
  <cols>
    <col min="1" max="1" width="8.625" customWidth="1"/>
    <col min="2" max="2" width="10.625" customWidth="1"/>
    <col min="3" max="3" width="46.625" customWidth="1"/>
    <col min="4" max="26" width="8.625" customWidth="1"/>
  </cols>
  <sheetData>
    <row r="1" spans="2:4" ht="13.5" customHeight="1">
      <c r="D1" s="45"/>
    </row>
    <row r="2" spans="2:4" ht="13.5" customHeight="1">
      <c r="D2" s="45"/>
    </row>
    <row r="3" spans="2:4" ht="13.5" customHeight="1">
      <c r="B3" s="46" t="s">
        <v>131</v>
      </c>
      <c r="C3" s="47" t="s">
        <v>151</v>
      </c>
      <c r="D3" s="48" t="s">
        <v>144</v>
      </c>
    </row>
    <row r="4" spans="2:4" ht="13.5" customHeight="1">
      <c r="B4" s="49">
        <v>9000011003</v>
      </c>
      <c r="C4" s="50" t="s">
        <v>20</v>
      </c>
      <c r="D4" s="33">
        <v>16</v>
      </c>
    </row>
    <row r="5" spans="2:4" ht="13.5" customHeight="1">
      <c r="B5" s="49">
        <v>9000011103</v>
      </c>
      <c r="C5" s="50" t="s">
        <v>20</v>
      </c>
      <c r="D5" s="33">
        <v>8</v>
      </c>
    </row>
    <row r="6" spans="2:4" ht="13.5" customHeight="1">
      <c r="B6" s="49">
        <v>9000118001</v>
      </c>
      <c r="C6" s="50" t="s">
        <v>21</v>
      </c>
      <c r="D6" s="33">
        <v>8</v>
      </c>
    </row>
    <row r="7" spans="2:4" ht="13.5" customHeight="1">
      <c r="B7" s="49">
        <v>9000152202</v>
      </c>
      <c r="C7" s="50" t="s">
        <v>22</v>
      </c>
      <c r="D7" s="33">
        <v>1</v>
      </c>
    </row>
    <row r="8" spans="2:4" ht="13.5" customHeight="1">
      <c r="B8" s="49">
        <v>9000166101</v>
      </c>
      <c r="C8" s="50" t="s">
        <v>23</v>
      </c>
      <c r="D8" s="33">
        <v>1</v>
      </c>
    </row>
    <row r="9" spans="2:4" ht="13.5" customHeight="1">
      <c r="B9" s="49">
        <v>9000182703</v>
      </c>
      <c r="C9" s="50" t="s">
        <v>24</v>
      </c>
      <c r="D9" s="33">
        <v>16</v>
      </c>
    </row>
    <row r="10" spans="2:4" ht="13.5" customHeight="1">
      <c r="B10" s="49">
        <v>9000184102</v>
      </c>
      <c r="C10" s="50" t="s">
        <v>25</v>
      </c>
      <c r="D10" s="33">
        <v>8</v>
      </c>
    </row>
    <row r="11" spans="2:4" ht="13.5" customHeight="1">
      <c r="B11" s="49">
        <v>9000197803</v>
      </c>
      <c r="C11" s="50" t="s">
        <v>26</v>
      </c>
      <c r="D11" s="33">
        <v>8</v>
      </c>
    </row>
    <row r="12" spans="2:4" ht="13.5" customHeight="1">
      <c r="B12" s="49">
        <v>9000229001</v>
      </c>
      <c r="C12" s="50" t="s">
        <v>27</v>
      </c>
      <c r="D12" s="33">
        <v>24</v>
      </c>
    </row>
    <row r="13" spans="2:4" ht="13.5" customHeight="1">
      <c r="B13" s="49">
        <v>9000234902</v>
      </c>
      <c r="C13" s="50" t="s">
        <v>28</v>
      </c>
      <c r="D13" s="33">
        <v>4</v>
      </c>
    </row>
    <row r="14" spans="2:4" ht="13.5" customHeight="1">
      <c r="B14" s="49">
        <v>9000236502</v>
      </c>
      <c r="C14" s="50" t="s">
        <v>29</v>
      </c>
      <c r="D14" s="33">
        <v>4</v>
      </c>
    </row>
    <row r="15" spans="2:4" ht="13.5" customHeight="1">
      <c r="B15" s="49">
        <v>9000392401</v>
      </c>
      <c r="C15" s="50" t="s">
        <v>30</v>
      </c>
      <c r="D15" s="33">
        <v>14</v>
      </c>
    </row>
    <row r="16" spans="2:4" ht="13.5" customHeight="1">
      <c r="B16" s="49">
        <v>9000392901</v>
      </c>
      <c r="C16" s="50" t="s">
        <v>31</v>
      </c>
      <c r="D16" s="33">
        <v>7</v>
      </c>
    </row>
    <row r="17" spans="2:4" ht="13.5" customHeight="1">
      <c r="B17" s="49">
        <v>9000513803</v>
      </c>
      <c r="C17" s="50" t="s">
        <v>32</v>
      </c>
      <c r="D17" s="33">
        <v>8</v>
      </c>
    </row>
    <row r="18" spans="2:4" ht="13.5" customHeight="1">
      <c r="B18" s="49">
        <v>9000569303</v>
      </c>
      <c r="C18" s="50" t="s">
        <v>33</v>
      </c>
      <c r="D18" s="33">
        <v>4</v>
      </c>
    </row>
    <row r="19" spans="2:4" ht="13.5" customHeight="1">
      <c r="B19" s="49">
        <v>9000574302</v>
      </c>
      <c r="C19" s="50" t="s">
        <v>34</v>
      </c>
      <c r="D19" s="33">
        <v>4</v>
      </c>
    </row>
    <row r="20" spans="2:4" ht="13.5" customHeight="1">
      <c r="B20" s="49">
        <v>9000650903</v>
      </c>
      <c r="C20" s="50" t="s">
        <v>35</v>
      </c>
      <c r="D20" s="33">
        <v>4</v>
      </c>
    </row>
    <row r="21" spans="2:4" ht="13.5" customHeight="1">
      <c r="B21" s="49">
        <v>9000692404</v>
      </c>
      <c r="C21" s="50" t="s">
        <v>36</v>
      </c>
      <c r="D21" s="33">
        <v>2</v>
      </c>
    </row>
    <row r="22" spans="2:4" ht="13.5" customHeight="1">
      <c r="B22" s="49">
        <v>9000692703</v>
      </c>
      <c r="C22" s="50" t="s">
        <v>37</v>
      </c>
      <c r="D22" s="33">
        <v>6</v>
      </c>
    </row>
    <row r="23" spans="2:4" ht="13.5" customHeight="1">
      <c r="B23" s="49">
        <v>9000700403</v>
      </c>
      <c r="C23" s="50" t="s">
        <v>38</v>
      </c>
      <c r="D23" s="33">
        <v>1</v>
      </c>
    </row>
    <row r="24" spans="2:4" ht="13.5" customHeight="1">
      <c r="B24" s="49">
        <v>9000722603</v>
      </c>
      <c r="C24" s="50" t="s">
        <v>39</v>
      </c>
      <c r="D24" s="33">
        <v>16</v>
      </c>
    </row>
    <row r="25" spans="2:4" ht="13.5" customHeight="1">
      <c r="B25" s="49">
        <v>9000734304</v>
      </c>
      <c r="C25" s="50" t="s">
        <v>40</v>
      </c>
      <c r="D25" s="33">
        <v>1</v>
      </c>
    </row>
    <row r="26" spans="2:4" ht="13.5" customHeight="1">
      <c r="B26" s="49">
        <v>9000736504</v>
      </c>
      <c r="C26" s="50" t="s">
        <v>41</v>
      </c>
      <c r="D26" s="33">
        <v>1</v>
      </c>
    </row>
    <row r="27" spans="2:4" ht="13.5" customHeight="1">
      <c r="B27" s="49">
        <v>9000745006</v>
      </c>
      <c r="C27" s="50" t="s">
        <v>42</v>
      </c>
      <c r="D27" s="33">
        <v>2</v>
      </c>
    </row>
    <row r="28" spans="2:4" ht="13.5" customHeight="1">
      <c r="B28" s="49">
        <v>9000745203</v>
      </c>
      <c r="C28" s="50" t="s">
        <v>43</v>
      </c>
      <c r="D28" s="33">
        <v>10</v>
      </c>
    </row>
    <row r="29" spans="2:4" ht="13.5" customHeight="1">
      <c r="B29" s="49">
        <v>9000746303</v>
      </c>
      <c r="C29" s="50" t="s">
        <v>44</v>
      </c>
      <c r="D29" s="33">
        <v>1</v>
      </c>
    </row>
    <row r="30" spans="2:4" ht="13.5" customHeight="1">
      <c r="B30" s="49">
        <v>9000780902</v>
      </c>
      <c r="C30" s="50" t="s">
        <v>45</v>
      </c>
      <c r="D30" s="33">
        <v>5</v>
      </c>
    </row>
    <row r="31" spans="2:4" ht="13.5" customHeight="1">
      <c r="B31" s="49">
        <v>9001245102</v>
      </c>
      <c r="C31" s="50" t="s">
        <v>46</v>
      </c>
      <c r="D31" s="33">
        <v>3</v>
      </c>
    </row>
    <row r="32" spans="2:4" ht="13.5" customHeight="1">
      <c r="B32" s="49">
        <v>9001284403</v>
      </c>
      <c r="C32" s="50" t="s">
        <v>47</v>
      </c>
      <c r="D32" s="33">
        <v>4</v>
      </c>
    </row>
    <row r="33" spans="2:4" ht="13.5" customHeight="1">
      <c r="B33" s="49">
        <v>9001293301</v>
      </c>
      <c r="C33" s="50" t="s">
        <v>48</v>
      </c>
      <c r="D33" s="33">
        <v>8</v>
      </c>
    </row>
    <row r="34" spans="2:4" ht="13.5" customHeight="1">
      <c r="B34" s="49">
        <v>9001300304</v>
      </c>
      <c r="C34" s="50" t="s">
        <v>49</v>
      </c>
      <c r="D34" s="33">
        <v>1</v>
      </c>
    </row>
    <row r="35" spans="2:4" ht="13.5" customHeight="1">
      <c r="B35" s="49">
        <v>9001301502</v>
      </c>
      <c r="C35" s="50" t="s">
        <v>50</v>
      </c>
      <c r="D35" s="33">
        <v>2</v>
      </c>
    </row>
    <row r="36" spans="2:4" ht="13.5" customHeight="1">
      <c r="B36" s="49">
        <v>9001301702</v>
      </c>
      <c r="C36" s="50" t="s">
        <v>51</v>
      </c>
      <c r="D36" s="33">
        <v>4</v>
      </c>
    </row>
    <row r="37" spans="2:4" ht="13.5" customHeight="1">
      <c r="B37" s="49">
        <v>9001309502</v>
      </c>
      <c r="C37" s="50" t="s">
        <v>52</v>
      </c>
      <c r="D37" s="33">
        <v>64</v>
      </c>
    </row>
    <row r="38" spans="2:4" ht="13.5" customHeight="1">
      <c r="B38" s="49">
        <v>9001312101</v>
      </c>
      <c r="C38" s="50" t="s">
        <v>53</v>
      </c>
      <c r="D38" s="33">
        <v>7</v>
      </c>
    </row>
    <row r="39" spans="2:4" ht="13.5" customHeight="1">
      <c r="B39" s="49">
        <v>9001312202</v>
      </c>
      <c r="C39" s="50" t="s">
        <v>54</v>
      </c>
      <c r="D39" s="33">
        <v>7</v>
      </c>
    </row>
    <row r="40" spans="2:4" ht="13.5" customHeight="1">
      <c r="B40" s="49">
        <v>9001312302</v>
      </c>
      <c r="C40" s="50" t="s">
        <v>55</v>
      </c>
      <c r="D40" s="33">
        <v>7</v>
      </c>
    </row>
    <row r="41" spans="2:4" ht="13.5" customHeight="1">
      <c r="B41" s="49">
        <v>9001312402</v>
      </c>
      <c r="C41" s="50" t="s">
        <v>56</v>
      </c>
      <c r="D41" s="33">
        <v>14</v>
      </c>
    </row>
    <row r="42" spans="2:4" ht="13.5" customHeight="1">
      <c r="B42" s="49">
        <v>9001312501</v>
      </c>
      <c r="C42" s="50" t="s">
        <v>57</v>
      </c>
      <c r="D42" s="33">
        <v>7</v>
      </c>
    </row>
    <row r="43" spans="2:4" ht="13.5" customHeight="1">
      <c r="B43" s="49">
        <v>9001312603</v>
      </c>
      <c r="C43" s="50" t="s">
        <v>58</v>
      </c>
      <c r="D43" s="33">
        <v>7</v>
      </c>
    </row>
    <row r="44" spans="2:4" ht="13.5" customHeight="1">
      <c r="B44" s="49">
        <v>9001312702</v>
      </c>
      <c r="C44" s="50" t="s">
        <v>59</v>
      </c>
      <c r="D44" s="33">
        <v>60</v>
      </c>
    </row>
    <row r="45" spans="2:4" ht="13.5" customHeight="1">
      <c r="B45" s="49">
        <v>9001317602</v>
      </c>
      <c r="C45" s="50" t="s">
        <v>60</v>
      </c>
      <c r="D45" s="33">
        <v>2</v>
      </c>
    </row>
    <row r="46" spans="2:4" ht="13.5" customHeight="1">
      <c r="B46" s="49">
        <v>9001317702</v>
      </c>
      <c r="C46" s="50" t="s">
        <v>61</v>
      </c>
      <c r="D46" s="33">
        <v>2</v>
      </c>
    </row>
    <row r="47" spans="2:4" ht="13.5" customHeight="1">
      <c r="B47" s="49">
        <v>9001690802</v>
      </c>
      <c r="C47" s="50" t="s">
        <v>62</v>
      </c>
      <c r="D47" s="33">
        <v>1</v>
      </c>
    </row>
    <row r="48" spans="2:4" ht="13.5" customHeight="1">
      <c r="B48" s="49">
        <v>9001694802</v>
      </c>
      <c r="C48" s="50" t="s">
        <v>63</v>
      </c>
      <c r="D48" s="33">
        <v>1</v>
      </c>
    </row>
    <row r="49" spans="2:4" ht="13.5" customHeight="1">
      <c r="B49" s="49">
        <v>9001721601</v>
      </c>
      <c r="C49" s="50" t="s">
        <v>64</v>
      </c>
      <c r="D49" s="33">
        <v>1</v>
      </c>
    </row>
    <row r="50" spans="2:4" ht="13.5" customHeight="1">
      <c r="B50" s="49">
        <v>9001722001</v>
      </c>
      <c r="C50" s="50" t="s">
        <v>65</v>
      </c>
      <c r="D50" s="33">
        <v>1</v>
      </c>
    </row>
    <row r="51" spans="2:4" ht="13.5" customHeight="1">
      <c r="B51" s="49">
        <v>9001781201</v>
      </c>
      <c r="C51" s="50" t="s">
        <v>66</v>
      </c>
      <c r="D51" s="33">
        <v>16</v>
      </c>
    </row>
    <row r="52" spans="2:4" ht="13.5" customHeight="1">
      <c r="B52" s="49">
        <v>9001783601</v>
      </c>
      <c r="C52" s="50" t="s">
        <v>67</v>
      </c>
      <c r="D52" s="33">
        <v>1</v>
      </c>
    </row>
    <row r="53" spans="2:4" ht="13.5" customHeight="1">
      <c r="B53" s="49">
        <v>9001783701</v>
      </c>
      <c r="C53" s="50" t="s">
        <v>68</v>
      </c>
      <c r="D53" s="33">
        <v>2</v>
      </c>
    </row>
    <row r="54" spans="2:4" ht="13.5" customHeight="1">
      <c r="B54" s="49">
        <v>9001783801</v>
      </c>
      <c r="C54" s="50" t="s">
        <v>69</v>
      </c>
      <c r="D54" s="33">
        <v>1</v>
      </c>
    </row>
    <row r="55" spans="2:4" ht="13.5" customHeight="1">
      <c r="B55" s="49">
        <v>9001783901</v>
      </c>
      <c r="C55" s="50" t="s">
        <v>70</v>
      </c>
      <c r="D55" s="33">
        <v>1</v>
      </c>
    </row>
    <row r="56" spans="2:4" ht="13.5" customHeight="1">
      <c r="B56" s="49">
        <v>9001794101</v>
      </c>
      <c r="C56" s="50" t="s">
        <v>71</v>
      </c>
      <c r="D56" s="33">
        <v>1</v>
      </c>
    </row>
    <row r="57" spans="2:4" ht="13.5" customHeight="1">
      <c r="B57" s="49">
        <v>9001795601</v>
      </c>
      <c r="C57" s="50" t="s">
        <v>72</v>
      </c>
      <c r="D57" s="33">
        <v>1</v>
      </c>
    </row>
    <row r="58" spans="2:4" ht="13.5" customHeight="1">
      <c r="B58" s="49">
        <v>9001797301</v>
      </c>
      <c r="C58" s="50" t="s">
        <v>73</v>
      </c>
      <c r="D58" s="33">
        <v>2</v>
      </c>
    </row>
    <row r="59" spans="2:4" ht="13.5" customHeight="1">
      <c r="B59" s="49">
        <v>9001798901</v>
      </c>
      <c r="C59" s="50" t="s">
        <v>74</v>
      </c>
      <c r="D59" s="33">
        <v>1</v>
      </c>
    </row>
    <row r="60" spans="2:4" ht="13.5" customHeight="1">
      <c r="B60" s="49">
        <v>9001800101</v>
      </c>
      <c r="C60" s="50" t="s">
        <v>75</v>
      </c>
      <c r="D60" s="33">
        <v>2</v>
      </c>
    </row>
    <row r="61" spans="2:4" ht="13.5" customHeight="1">
      <c r="B61" s="49">
        <v>9001801101</v>
      </c>
      <c r="C61" s="50" t="s">
        <v>76</v>
      </c>
      <c r="D61" s="33">
        <v>2</v>
      </c>
    </row>
    <row r="62" spans="2:4" ht="13.5" customHeight="1">
      <c r="B62" s="49">
        <v>9001801901</v>
      </c>
      <c r="C62" s="50" t="s">
        <v>77</v>
      </c>
      <c r="D62" s="33">
        <v>2</v>
      </c>
    </row>
    <row r="63" spans="2:4" ht="13.5" customHeight="1">
      <c r="B63" s="49">
        <v>9001802001</v>
      </c>
      <c r="C63" s="50" t="s">
        <v>78</v>
      </c>
      <c r="D63" s="33">
        <v>6</v>
      </c>
    </row>
    <row r="64" spans="2:4" ht="13.5" customHeight="1">
      <c r="B64" s="49">
        <v>9001802701</v>
      </c>
      <c r="C64" s="50" t="s">
        <v>79</v>
      </c>
      <c r="D64" s="33">
        <v>8</v>
      </c>
    </row>
    <row r="65" spans="2:4" ht="13.5" customHeight="1">
      <c r="B65" s="49">
        <v>9001806501</v>
      </c>
      <c r="C65" s="50" t="s">
        <v>80</v>
      </c>
      <c r="D65" s="33">
        <v>4</v>
      </c>
    </row>
    <row r="66" spans="2:4" ht="13.5" customHeight="1">
      <c r="B66" s="49">
        <v>9001808401</v>
      </c>
      <c r="C66" s="50" t="s">
        <v>81</v>
      </c>
      <c r="D66" s="33">
        <v>1</v>
      </c>
    </row>
    <row r="67" spans="2:4" ht="13.5" customHeight="1">
      <c r="B67" s="49">
        <v>9001809301</v>
      </c>
      <c r="C67" s="50" t="s">
        <v>82</v>
      </c>
      <c r="D67" s="33">
        <v>2</v>
      </c>
    </row>
    <row r="68" spans="2:4" ht="13.5" customHeight="1">
      <c r="B68" s="49">
        <v>9001809501</v>
      </c>
      <c r="C68" s="50" t="s">
        <v>83</v>
      </c>
      <c r="D68" s="33">
        <v>2</v>
      </c>
    </row>
    <row r="69" spans="2:4" ht="13.5" customHeight="1">
      <c r="B69" s="49">
        <v>9001811001</v>
      </c>
      <c r="C69" s="50" t="s">
        <v>84</v>
      </c>
      <c r="D69" s="33">
        <v>6</v>
      </c>
    </row>
    <row r="70" spans="2:4" ht="13.5" customHeight="1">
      <c r="B70" s="49">
        <v>9001813201</v>
      </c>
      <c r="C70" s="50" t="s">
        <v>85</v>
      </c>
      <c r="D70" s="33">
        <v>6</v>
      </c>
    </row>
    <row r="71" spans="2:4" ht="13.5" customHeight="1">
      <c r="B71" s="49">
        <v>9001816401</v>
      </c>
      <c r="C71" s="50" t="s">
        <v>86</v>
      </c>
      <c r="D71" s="33">
        <v>2</v>
      </c>
    </row>
    <row r="72" spans="2:4" ht="13.5" customHeight="1">
      <c r="B72" s="49">
        <v>9001816501</v>
      </c>
      <c r="C72" s="50" t="s">
        <v>87</v>
      </c>
      <c r="D72" s="33">
        <v>4</v>
      </c>
    </row>
    <row r="73" spans="2:4" ht="13.5" customHeight="1">
      <c r="B73" s="49">
        <v>9001816601</v>
      </c>
      <c r="C73" s="50" t="s">
        <v>88</v>
      </c>
      <c r="D73" s="33">
        <v>8</v>
      </c>
    </row>
    <row r="74" spans="2:4" ht="13.5" customHeight="1">
      <c r="B74" s="49">
        <v>9001816701</v>
      </c>
      <c r="C74" s="50" t="s">
        <v>88</v>
      </c>
      <c r="D74" s="33">
        <v>8</v>
      </c>
    </row>
    <row r="75" spans="2:4" ht="13.5" customHeight="1">
      <c r="B75" s="49">
        <v>9001816901</v>
      </c>
      <c r="C75" s="50" t="s">
        <v>89</v>
      </c>
      <c r="D75" s="33">
        <v>2</v>
      </c>
    </row>
    <row r="76" spans="2:4" ht="13.5" customHeight="1">
      <c r="B76" s="49">
        <v>9001817201</v>
      </c>
      <c r="C76" s="50" t="s">
        <v>90</v>
      </c>
      <c r="D76" s="33">
        <v>24</v>
      </c>
    </row>
    <row r="77" spans="2:4" ht="13.5" customHeight="1">
      <c r="B77" s="49">
        <v>9001823901</v>
      </c>
      <c r="C77" s="50" t="s">
        <v>91</v>
      </c>
      <c r="D77" s="33">
        <v>24</v>
      </c>
    </row>
    <row r="78" spans="2:4" ht="13.5" customHeight="1">
      <c r="B78" s="49">
        <v>9001827001</v>
      </c>
      <c r="C78" s="50" t="s">
        <v>92</v>
      </c>
      <c r="D78" s="33">
        <v>88</v>
      </c>
    </row>
    <row r="79" spans="2:4" ht="13.5" customHeight="1">
      <c r="B79" s="49">
        <v>9001827701</v>
      </c>
      <c r="C79" s="50" t="s">
        <v>93</v>
      </c>
      <c r="D79" s="33">
        <v>36</v>
      </c>
    </row>
    <row r="80" spans="2:4" ht="13.5" customHeight="1">
      <c r="B80" s="49">
        <v>9001832601</v>
      </c>
      <c r="C80" s="50" t="s">
        <v>94</v>
      </c>
      <c r="D80" s="33">
        <v>1</v>
      </c>
    </row>
    <row r="81" spans="2:4" ht="13.5" customHeight="1">
      <c r="B81" s="49">
        <v>9001835301</v>
      </c>
      <c r="C81" s="50" t="s">
        <v>95</v>
      </c>
      <c r="D81" s="33">
        <v>1</v>
      </c>
    </row>
    <row r="82" spans="2:4" ht="13.5" customHeight="1">
      <c r="B82" s="49">
        <v>9001837501</v>
      </c>
      <c r="C82" s="50" t="s">
        <v>96</v>
      </c>
      <c r="D82" s="33">
        <v>4</v>
      </c>
    </row>
    <row r="83" spans="2:4" ht="13.5" customHeight="1">
      <c r="B83" s="49">
        <v>9001842201</v>
      </c>
      <c r="C83" s="50" t="s">
        <v>97</v>
      </c>
      <c r="D83" s="33">
        <v>18</v>
      </c>
    </row>
    <row r="84" spans="2:4" ht="13.5" customHeight="1">
      <c r="B84" s="49">
        <v>9001844301</v>
      </c>
      <c r="C84" s="50" t="s">
        <v>98</v>
      </c>
      <c r="D84" s="33">
        <v>3</v>
      </c>
    </row>
    <row r="85" spans="2:4" ht="13.5" customHeight="1">
      <c r="B85" s="49">
        <v>9001846901</v>
      </c>
      <c r="C85" s="50" t="s">
        <v>99</v>
      </c>
      <c r="D85" s="33">
        <v>3</v>
      </c>
    </row>
    <row r="86" spans="2:4" ht="13.5" customHeight="1">
      <c r="B86" s="49">
        <v>9001852401</v>
      </c>
      <c r="C86" s="50" t="s">
        <v>100</v>
      </c>
      <c r="D86" s="33">
        <v>2</v>
      </c>
    </row>
    <row r="87" spans="2:4" ht="13.5" customHeight="1">
      <c r="B87" s="49">
        <v>9001852901</v>
      </c>
      <c r="C87" s="50" t="s">
        <v>101</v>
      </c>
      <c r="D87" s="33">
        <v>2</v>
      </c>
    </row>
    <row r="88" spans="2:4" ht="13.5" customHeight="1">
      <c r="B88" s="49">
        <v>9001853001</v>
      </c>
      <c r="C88" s="50" t="s">
        <v>102</v>
      </c>
      <c r="D88" s="33">
        <v>8</v>
      </c>
    </row>
    <row r="89" spans="2:4" ht="13.5" customHeight="1">
      <c r="B89" s="49">
        <v>9001853201</v>
      </c>
      <c r="C89" s="50" t="s">
        <v>103</v>
      </c>
      <c r="D89" s="33">
        <v>1</v>
      </c>
    </row>
    <row r="90" spans="2:4" ht="13.5" customHeight="1">
      <c r="B90" s="49">
        <v>9001854801</v>
      </c>
      <c r="C90" s="50" t="s">
        <v>104</v>
      </c>
      <c r="D90" s="33">
        <v>2</v>
      </c>
    </row>
    <row r="91" spans="2:4" ht="13.5" customHeight="1">
      <c r="B91" s="49">
        <v>9001855001</v>
      </c>
      <c r="C91" s="50" t="s">
        <v>105</v>
      </c>
      <c r="D91" s="33">
        <v>6</v>
      </c>
    </row>
    <row r="92" spans="2:4" ht="13.5" customHeight="1">
      <c r="B92" s="49">
        <v>9001855301</v>
      </c>
      <c r="C92" s="50" t="s">
        <v>106</v>
      </c>
      <c r="D92" s="33">
        <v>6</v>
      </c>
    </row>
    <row r="93" spans="2:4" ht="13.5" customHeight="1">
      <c r="B93" s="49">
        <v>9001856401</v>
      </c>
      <c r="C93" s="50" t="s">
        <v>107</v>
      </c>
      <c r="D93" s="33">
        <v>6</v>
      </c>
    </row>
    <row r="94" spans="2:4" ht="13.5" customHeight="1">
      <c r="B94" s="49">
        <v>9001856501</v>
      </c>
      <c r="C94" s="50" t="s">
        <v>108</v>
      </c>
      <c r="D94" s="33">
        <v>6</v>
      </c>
    </row>
    <row r="95" spans="2:4" ht="13.5" customHeight="1">
      <c r="B95" s="49">
        <v>9001856601</v>
      </c>
      <c r="C95" s="50" t="s">
        <v>109</v>
      </c>
      <c r="D95" s="33">
        <v>5</v>
      </c>
    </row>
    <row r="96" spans="2:4" ht="13.5" customHeight="1">
      <c r="B96" s="49">
        <v>9001856701</v>
      </c>
      <c r="C96" s="50" t="s">
        <v>110</v>
      </c>
      <c r="D96" s="33">
        <v>2</v>
      </c>
    </row>
    <row r="97" spans="2:4" ht="13.5" customHeight="1">
      <c r="B97" s="49">
        <v>9001857501</v>
      </c>
      <c r="C97" s="50" t="s">
        <v>111</v>
      </c>
      <c r="D97" s="33">
        <v>4</v>
      </c>
    </row>
    <row r="98" spans="2:4" ht="13.5" customHeight="1">
      <c r="B98" s="49">
        <v>9001857601</v>
      </c>
      <c r="C98" s="50" t="s">
        <v>112</v>
      </c>
      <c r="D98" s="33">
        <v>8</v>
      </c>
    </row>
    <row r="99" spans="2:4" ht="13.5" customHeight="1">
      <c r="B99" s="49">
        <v>9001857801</v>
      </c>
      <c r="C99" s="50" t="s">
        <v>113</v>
      </c>
      <c r="D99" s="33">
        <v>2</v>
      </c>
    </row>
    <row r="100" spans="2:4" ht="13.5" customHeight="1">
      <c r="B100" s="49">
        <v>9001857901</v>
      </c>
      <c r="C100" s="50" t="s">
        <v>114</v>
      </c>
      <c r="D100" s="33">
        <v>2</v>
      </c>
    </row>
    <row r="101" spans="2:4" ht="13.5" customHeight="1">
      <c r="B101" s="49">
        <v>9001859001</v>
      </c>
      <c r="C101" s="50" t="s">
        <v>115</v>
      </c>
      <c r="D101" s="33">
        <v>1</v>
      </c>
    </row>
    <row r="102" spans="2:4" ht="13.5" customHeight="1">
      <c r="B102" s="49">
        <v>9001861001</v>
      </c>
      <c r="C102" s="50" t="s">
        <v>116</v>
      </c>
      <c r="D102" s="33">
        <v>2</v>
      </c>
    </row>
    <row r="103" spans="2:4" ht="13.5" customHeight="1">
      <c r="B103" s="49">
        <v>9001861101</v>
      </c>
      <c r="C103" s="50" t="s">
        <v>117</v>
      </c>
      <c r="D103" s="33">
        <v>2</v>
      </c>
    </row>
    <row r="104" spans="2:4" ht="13.5" customHeight="1">
      <c r="B104" s="49">
        <v>9001861201</v>
      </c>
      <c r="C104" s="50" t="s">
        <v>118</v>
      </c>
      <c r="D104" s="33">
        <v>2</v>
      </c>
    </row>
    <row r="105" spans="2:4" ht="13.5" customHeight="1">
      <c r="B105" s="49">
        <v>9001861401</v>
      </c>
      <c r="C105" s="50" t="s">
        <v>119</v>
      </c>
      <c r="D105" s="33">
        <v>2</v>
      </c>
    </row>
    <row r="106" spans="2:4" ht="13.5" customHeight="1">
      <c r="B106" s="49">
        <v>9001861501</v>
      </c>
      <c r="C106" s="50" t="s">
        <v>120</v>
      </c>
      <c r="D106" s="33">
        <v>2</v>
      </c>
    </row>
    <row r="107" spans="2:4" ht="13.5" customHeight="1">
      <c r="D107" s="45"/>
    </row>
    <row r="108" spans="2:4" ht="13.5" customHeight="1">
      <c r="D108" s="45"/>
    </row>
    <row r="109" spans="2:4" ht="13.5" customHeight="1">
      <c r="D109" s="45"/>
    </row>
    <row r="110" spans="2:4" ht="13.5" customHeight="1">
      <c r="D110" s="45"/>
    </row>
    <row r="111" spans="2:4" ht="13.5" customHeight="1">
      <c r="D111" s="45"/>
    </row>
    <row r="112" spans="2:4" ht="13.5" customHeight="1">
      <c r="D112" s="45"/>
    </row>
    <row r="113" spans="4:4" ht="13.5" customHeight="1">
      <c r="D113" s="45"/>
    </row>
    <row r="114" spans="4:4" ht="13.5" customHeight="1">
      <c r="D114" s="45"/>
    </row>
    <row r="115" spans="4:4" ht="13.5" customHeight="1">
      <c r="D115" s="45"/>
    </row>
    <row r="116" spans="4:4" ht="13.5" customHeight="1">
      <c r="D116" s="45"/>
    </row>
    <row r="117" spans="4:4" ht="13.5" customHeight="1">
      <c r="D117" s="45"/>
    </row>
    <row r="118" spans="4:4" ht="13.5" customHeight="1">
      <c r="D118" s="45"/>
    </row>
    <row r="119" spans="4:4" ht="13.5" customHeight="1">
      <c r="D119" s="45"/>
    </row>
    <row r="120" spans="4:4" ht="13.5" customHeight="1">
      <c r="D120" s="45"/>
    </row>
    <row r="121" spans="4:4" ht="13.5" customHeight="1">
      <c r="D121" s="45"/>
    </row>
    <row r="122" spans="4:4" ht="13.5" customHeight="1">
      <c r="D122" s="45"/>
    </row>
    <row r="123" spans="4:4" ht="13.5" customHeight="1">
      <c r="D123" s="45"/>
    </row>
    <row r="124" spans="4:4" ht="13.5" customHeight="1">
      <c r="D124" s="45"/>
    </row>
    <row r="125" spans="4:4" ht="13.5" customHeight="1">
      <c r="D125" s="45"/>
    </row>
    <row r="126" spans="4:4" ht="13.5" customHeight="1">
      <c r="D126" s="45"/>
    </row>
    <row r="127" spans="4:4" ht="13.5" customHeight="1">
      <c r="D127" s="45"/>
    </row>
    <row r="128" spans="4:4" ht="13.5" customHeight="1">
      <c r="D128" s="45"/>
    </row>
    <row r="129" spans="4:4" ht="13.5" customHeight="1">
      <c r="D129" s="45"/>
    </row>
    <row r="130" spans="4:4" ht="13.5" customHeight="1">
      <c r="D130" s="45"/>
    </row>
    <row r="131" spans="4:4" ht="13.5" customHeight="1">
      <c r="D131" s="45"/>
    </row>
    <row r="132" spans="4:4" ht="13.5" customHeight="1">
      <c r="D132" s="45"/>
    </row>
    <row r="133" spans="4:4" ht="13.5" customHeight="1">
      <c r="D133" s="45"/>
    </row>
    <row r="134" spans="4:4" ht="13.5" customHeight="1">
      <c r="D134" s="45"/>
    </row>
    <row r="135" spans="4:4" ht="13.5" customHeight="1">
      <c r="D135" s="45"/>
    </row>
    <row r="136" spans="4:4" ht="13.5" customHeight="1">
      <c r="D136" s="45"/>
    </row>
    <row r="137" spans="4:4" ht="13.5" customHeight="1">
      <c r="D137" s="45"/>
    </row>
    <row r="138" spans="4:4" ht="13.5" customHeight="1">
      <c r="D138" s="45"/>
    </row>
    <row r="139" spans="4:4" ht="13.5" customHeight="1">
      <c r="D139" s="45"/>
    </row>
    <row r="140" spans="4:4" ht="13.5" customHeight="1">
      <c r="D140" s="45"/>
    </row>
    <row r="141" spans="4:4" ht="13.5" customHeight="1">
      <c r="D141" s="45"/>
    </row>
    <row r="142" spans="4:4" ht="13.5" customHeight="1">
      <c r="D142" s="45"/>
    </row>
    <row r="143" spans="4:4" ht="13.5" customHeight="1">
      <c r="D143" s="45"/>
    </row>
    <row r="144" spans="4:4" ht="13.5" customHeight="1">
      <c r="D144" s="45"/>
    </row>
    <row r="145" spans="4:4" ht="13.5" customHeight="1">
      <c r="D145" s="45"/>
    </row>
    <row r="146" spans="4:4" ht="13.5" customHeight="1">
      <c r="D146" s="45"/>
    </row>
    <row r="147" spans="4:4" ht="13.5" customHeight="1">
      <c r="D147" s="45"/>
    </row>
    <row r="148" spans="4:4" ht="13.5" customHeight="1">
      <c r="D148" s="45"/>
    </row>
    <row r="149" spans="4:4" ht="13.5" customHeight="1">
      <c r="D149" s="45"/>
    </row>
    <row r="150" spans="4:4" ht="13.5" customHeight="1">
      <c r="D150" s="45"/>
    </row>
    <row r="151" spans="4:4" ht="13.5" customHeight="1">
      <c r="D151" s="45"/>
    </row>
    <row r="152" spans="4:4" ht="13.5" customHeight="1">
      <c r="D152" s="45"/>
    </row>
    <row r="153" spans="4:4" ht="13.5" customHeight="1">
      <c r="D153" s="45"/>
    </row>
    <row r="154" spans="4:4" ht="13.5" customHeight="1">
      <c r="D154" s="45"/>
    </row>
    <row r="155" spans="4:4" ht="13.5" customHeight="1">
      <c r="D155" s="45"/>
    </row>
    <row r="156" spans="4:4" ht="13.5" customHeight="1">
      <c r="D156" s="45"/>
    </row>
    <row r="157" spans="4:4" ht="13.5" customHeight="1">
      <c r="D157" s="45"/>
    </row>
    <row r="158" spans="4:4" ht="13.5" customHeight="1">
      <c r="D158" s="45"/>
    </row>
    <row r="159" spans="4:4" ht="13.5" customHeight="1">
      <c r="D159" s="45"/>
    </row>
    <row r="160" spans="4:4" ht="13.5" customHeight="1">
      <c r="D160" s="45"/>
    </row>
    <row r="161" spans="4:4" ht="13.5" customHeight="1">
      <c r="D161" s="45"/>
    </row>
    <row r="162" spans="4:4" ht="13.5" customHeight="1">
      <c r="D162" s="45"/>
    </row>
    <row r="163" spans="4:4" ht="13.5" customHeight="1">
      <c r="D163" s="45"/>
    </row>
    <row r="164" spans="4:4" ht="13.5" customHeight="1">
      <c r="D164" s="45"/>
    </row>
    <row r="165" spans="4:4" ht="13.5" customHeight="1">
      <c r="D165" s="45"/>
    </row>
    <row r="166" spans="4:4" ht="13.5" customHeight="1">
      <c r="D166" s="45"/>
    </row>
    <row r="167" spans="4:4" ht="13.5" customHeight="1">
      <c r="D167" s="45"/>
    </row>
    <row r="168" spans="4:4" ht="13.5" customHeight="1">
      <c r="D168" s="45"/>
    </row>
    <row r="169" spans="4:4" ht="13.5" customHeight="1">
      <c r="D169" s="45"/>
    </row>
    <row r="170" spans="4:4" ht="13.5" customHeight="1">
      <c r="D170" s="45"/>
    </row>
    <row r="171" spans="4:4" ht="13.5" customHeight="1">
      <c r="D171" s="45"/>
    </row>
    <row r="172" spans="4:4" ht="13.5" customHeight="1">
      <c r="D172" s="45"/>
    </row>
    <row r="173" spans="4:4" ht="13.5" customHeight="1">
      <c r="D173" s="45"/>
    </row>
    <row r="174" spans="4:4" ht="13.5" customHeight="1">
      <c r="D174" s="45"/>
    </row>
    <row r="175" spans="4:4" ht="13.5" customHeight="1">
      <c r="D175" s="45"/>
    </row>
    <row r="176" spans="4:4" ht="13.5" customHeight="1">
      <c r="D176" s="45"/>
    </row>
    <row r="177" spans="4:4" ht="13.5" customHeight="1">
      <c r="D177" s="45"/>
    </row>
    <row r="178" spans="4:4" ht="13.5" customHeight="1">
      <c r="D178" s="45"/>
    </row>
    <row r="179" spans="4:4" ht="13.5" customHeight="1">
      <c r="D179" s="45"/>
    </row>
    <row r="180" spans="4:4" ht="13.5" customHeight="1">
      <c r="D180" s="45"/>
    </row>
    <row r="181" spans="4:4" ht="13.5" customHeight="1">
      <c r="D181" s="45"/>
    </row>
    <row r="182" spans="4:4" ht="13.5" customHeight="1">
      <c r="D182" s="45"/>
    </row>
    <row r="183" spans="4:4" ht="13.5" customHeight="1">
      <c r="D183" s="45"/>
    </row>
    <row r="184" spans="4:4" ht="13.5" customHeight="1">
      <c r="D184" s="45"/>
    </row>
    <row r="185" spans="4:4" ht="13.5" customHeight="1">
      <c r="D185" s="45"/>
    </row>
    <row r="186" spans="4:4" ht="13.5" customHeight="1">
      <c r="D186" s="45"/>
    </row>
    <row r="187" spans="4:4" ht="13.5" customHeight="1">
      <c r="D187" s="45"/>
    </row>
    <row r="188" spans="4:4" ht="13.5" customHeight="1">
      <c r="D188" s="45"/>
    </row>
    <row r="189" spans="4:4" ht="13.5" customHeight="1">
      <c r="D189" s="45"/>
    </row>
    <row r="190" spans="4:4" ht="13.5" customHeight="1">
      <c r="D190" s="45"/>
    </row>
    <row r="191" spans="4:4" ht="13.5" customHeight="1">
      <c r="D191" s="45"/>
    </row>
    <row r="192" spans="4:4" ht="13.5" customHeight="1">
      <c r="D192" s="45"/>
    </row>
    <row r="193" spans="4:4" ht="13.5" customHeight="1">
      <c r="D193" s="45"/>
    </row>
    <row r="194" spans="4:4" ht="13.5" customHeight="1">
      <c r="D194" s="45"/>
    </row>
    <row r="195" spans="4:4" ht="13.5" customHeight="1">
      <c r="D195" s="45"/>
    </row>
    <row r="196" spans="4:4" ht="13.5" customHeight="1">
      <c r="D196" s="45"/>
    </row>
    <row r="197" spans="4:4" ht="13.5" customHeight="1">
      <c r="D197" s="45"/>
    </row>
    <row r="198" spans="4:4" ht="13.5" customHeight="1">
      <c r="D198" s="45"/>
    </row>
    <row r="199" spans="4:4" ht="13.5" customHeight="1">
      <c r="D199" s="45"/>
    </row>
    <row r="200" spans="4:4" ht="13.5" customHeight="1">
      <c r="D200" s="45"/>
    </row>
    <row r="201" spans="4:4" ht="13.5" customHeight="1">
      <c r="D201" s="45"/>
    </row>
    <row r="202" spans="4:4" ht="13.5" customHeight="1">
      <c r="D202" s="45"/>
    </row>
    <row r="203" spans="4:4" ht="13.5" customHeight="1">
      <c r="D203" s="45"/>
    </row>
    <row r="204" spans="4:4" ht="13.5" customHeight="1">
      <c r="D204" s="45"/>
    </row>
    <row r="205" spans="4:4" ht="13.5" customHeight="1">
      <c r="D205" s="45"/>
    </row>
    <row r="206" spans="4:4" ht="13.5" customHeight="1">
      <c r="D206" s="45"/>
    </row>
    <row r="207" spans="4:4" ht="13.5" customHeight="1">
      <c r="D207" s="45"/>
    </row>
    <row r="208" spans="4:4" ht="13.5" customHeight="1">
      <c r="D208" s="45"/>
    </row>
    <row r="209" spans="4:4" ht="13.5" customHeight="1">
      <c r="D209" s="45"/>
    </row>
    <row r="210" spans="4:4" ht="13.5" customHeight="1">
      <c r="D210" s="45"/>
    </row>
    <row r="211" spans="4:4" ht="13.5" customHeight="1">
      <c r="D211" s="45"/>
    </row>
    <row r="212" spans="4:4" ht="13.5" customHeight="1">
      <c r="D212" s="45"/>
    </row>
    <row r="213" spans="4:4" ht="13.5" customHeight="1">
      <c r="D213" s="45"/>
    </row>
    <row r="214" spans="4:4" ht="13.5" customHeight="1">
      <c r="D214" s="45"/>
    </row>
    <row r="215" spans="4:4" ht="13.5" customHeight="1">
      <c r="D215" s="45"/>
    </row>
    <row r="216" spans="4:4" ht="13.5" customHeight="1">
      <c r="D216" s="45"/>
    </row>
    <row r="217" spans="4:4" ht="13.5" customHeight="1">
      <c r="D217" s="45"/>
    </row>
    <row r="218" spans="4:4" ht="13.5" customHeight="1">
      <c r="D218" s="45"/>
    </row>
    <row r="219" spans="4:4" ht="13.5" customHeight="1">
      <c r="D219" s="45"/>
    </row>
    <row r="220" spans="4:4" ht="13.5" customHeight="1">
      <c r="D220" s="45"/>
    </row>
    <row r="221" spans="4:4" ht="13.5" customHeight="1">
      <c r="D221" s="45"/>
    </row>
    <row r="222" spans="4:4" ht="13.5" customHeight="1">
      <c r="D222" s="45"/>
    </row>
    <row r="223" spans="4:4" ht="13.5" customHeight="1">
      <c r="D223" s="45"/>
    </row>
    <row r="224" spans="4:4" ht="13.5" customHeight="1">
      <c r="D224" s="45"/>
    </row>
    <row r="225" spans="4:4" ht="13.5" customHeight="1">
      <c r="D225" s="45"/>
    </row>
    <row r="226" spans="4:4" ht="13.5" customHeight="1">
      <c r="D226" s="45"/>
    </row>
    <row r="227" spans="4:4" ht="13.5" customHeight="1">
      <c r="D227" s="45"/>
    </row>
    <row r="228" spans="4:4" ht="13.5" customHeight="1">
      <c r="D228" s="45"/>
    </row>
    <row r="229" spans="4:4" ht="13.5" customHeight="1">
      <c r="D229" s="45"/>
    </row>
    <row r="230" spans="4:4" ht="13.5" customHeight="1">
      <c r="D230" s="45"/>
    </row>
    <row r="231" spans="4:4" ht="13.5" customHeight="1">
      <c r="D231" s="45"/>
    </row>
    <row r="232" spans="4:4" ht="13.5" customHeight="1">
      <c r="D232" s="45"/>
    </row>
    <row r="233" spans="4:4" ht="13.5" customHeight="1">
      <c r="D233" s="45"/>
    </row>
    <row r="234" spans="4:4" ht="13.5" customHeight="1">
      <c r="D234" s="45"/>
    </row>
    <row r="235" spans="4:4" ht="13.5" customHeight="1">
      <c r="D235" s="45"/>
    </row>
    <row r="236" spans="4:4" ht="13.5" customHeight="1">
      <c r="D236" s="45"/>
    </row>
    <row r="237" spans="4:4" ht="13.5" customHeight="1">
      <c r="D237" s="45"/>
    </row>
    <row r="238" spans="4:4" ht="13.5" customHeight="1">
      <c r="D238" s="45"/>
    </row>
    <row r="239" spans="4:4" ht="13.5" customHeight="1">
      <c r="D239" s="45"/>
    </row>
    <row r="240" spans="4:4" ht="13.5" customHeight="1">
      <c r="D240" s="45"/>
    </row>
    <row r="241" spans="4:4" ht="13.5" customHeight="1">
      <c r="D241" s="45"/>
    </row>
    <row r="242" spans="4:4" ht="13.5" customHeight="1">
      <c r="D242" s="45"/>
    </row>
    <row r="243" spans="4:4" ht="13.5" customHeight="1">
      <c r="D243" s="45"/>
    </row>
    <row r="244" spans="4:4" ht="13.5" customHeight="1">
      <c r="D244" s="45"/>
    </row>
    <row r="245" spans="4:4" ht="13.5" customHeight="1">
      <c r="D245" s="45"/>
    </row>
    <row r="246" spans="4:4" ht="13.5" customHeight="1">
      <c r="D246" s="45"/>
    </row>
    <row r="247" spans="4:4" ht="13.5" customHeight="1">
      <c r="D247" s="45"/>
    </row>
    <row r="248" spans="4:4" ht="13.5" customHeight="1">
      <c r="D248" s="45"/>
    </row>
    <row r="249" spans="4:4" ht="13.5" customHeight="1">
      <c r="D249" s="45"/>
    </row>
    <row r="250" spans="4:4" ht="13.5" customHeight="1">
      <c r="D250" s="45"/>
    </row>
    <row r="251" spans="4:4" ht="13.5" customHeight="1">
      <c r="D251" s="45"/>
    </row>
    <row r="252" spans="4:4" ht="13.5" customHeight="1">
      <c r="D252" s="45"/>
    </row>
    <row r="253" spans="4:4" ht="13.5" customHeight="1">
      <c r="D253" s="45"/>
    </row>
    <row r="254" spans="4:4" ht="13.5" customHeight="1">
      <c r="D254" s="45"/>
    </row>
    <row r="255" spans="4:4" ht="13.5" customHeight="1">
      <c r="D255" s="45"/>
    </row>
    <row r="256" spans="4:4" ht="13.5" customHeight="1">
      <c r="D256" s="45"/>
    </row>
    <row r="257" spans="4:4" ht="13.5" customHeight="1">
      <c r="D257" s="45"/>
    </row>
    <row r="258" spans="4:4" ht="13.5" customHeight="1">
      <c r="D258" s="45"/>
    </row>
    <row r="259" spans="4:4" ht="13.5" customHeight="1">
      <c r="D259" s="45"/>
    </row>
    <row r="260" spans="4:4" ht="13.5" customHeight="1">
      <c r="D260" s="45"/>
    </row>
    <row r="261" spans="4:4" ht="13.5" customHeight="1">
      <c r="D261" s="45"/>
    </row>
    <row r="262" spans="4:4" ht="13.5" customHeight="1">
      <c r="D262" s="45"/>
    </row>
    <row r="263" spans="4:4" ht="13.5" customHeight="1">
      <c r="D263" s="45"/>
    </row>
    <row r="264" spans="4:4" ht="13.5" customHeight="1">
      <c r="D264" s="45"/>
    </row>
    <row r="265" spans="4:4" ht="13.5" customHeight="1">
      <c r="D265" s="45"/>
    </row>
    <row r="266" spans="4:4" ht="13.5" customHeight="1">
      <c r="D266" s="45"/>
    </row>
    <row r="267" spans="4:4" ht="13.5" customHeight="1">
      <c r="D267" s="45"/>
    </row>
    <row r="268" spans="4:4" ht="13.5" customHeight="1">
      <c r="D268" s="45"/>
    </row>
    <row r="269" spans="4:4" ht="13.5" customHeight="1">
      <c r="D269" s="45"/>
    </row>
    <row r="270" spans="4:4" ht="13.5" customHeight="1">
      <c r="D270" s="45"/>
    </row>
    <row r="271" spans="4:4" ht="13.5" customHeight="1">
      <c r="D271" s="45"/>
    </row>
    <row r="272" spans="4:4" ht="13.5" customHeight="1">
      <c r="D272" s="45"/>
    </row>
    <row r="273" spans="4:4" ht="13.5" customHeight="1">
      <c r="D273" s="45"/>
    </row>
    <row r="274" spans="4:4" ht="13.5" customHeight="1">
      <c r="D274" s="45"/>
    </row>
    <row r="275" spans="4:4" ht="13.5" customHeight="1">
      <c r="D275" s="45"/>
    </row>
    <row r="276" spans="4:4" ht="13.5" customHeight="1">
      <c r="D276" s="45"/>
    </row>
    <row r="277" spans="4:4" ht="13.5" customHeight="1">
      <c r="D277" s="45"/>
    </row>
    <row r="278" spans="4:4" ht="13.5" customHeight="1">
      <c r="D278" s="45"/>
    </row>
    <row r="279" spans="4:4" ht="13.5" customHeight="1">
      <c r="D279" s="45"/>
    </row>
    <row r="280" spans="4:4" ht="13.5" customHeight="1">
      <c r="D280" s="45"/>
    </row>
    <row r="281" spans="4:4" ht="13.5" customHeight="1">
      <c r="D281" s="45"/>
    </row>
    <row r="282" spans="4:4" ht="13.5" customHeight="1">
      <c r="D282" s="45"/>
    </row>
    <row r="283" spans="4:4" ht="13.5" customHeight="1">
      <c r="D283" s="45"/>
    </row>
    <row r="284" spans="4:4" ht="13.5" customHeight="1">
      <c r="D284" s="45"/>
    </row>
    <row r="285" spans="4:4" ht="13.5" customHeight="1">
      <c r="D285" s="45"/>
    </row>
    <row r="286" spans="4:4" ht="13.5" customHeight="1">
      <c r="D286" s="45"/>
    </row>
    <row r="287" spans="4:4" ht="13.5" customHeight="1">
      <c r="D287" s="45"/>
    </row>
    <row r="288" spans="4:4" ht="13.5" customHeight="1">
      <c r="D288" s="45"/>
    </row>
    <row r="289" spans="4:4" ht="13.5" customHeight="1">
      <c r="D289" s="45"/>
    </row>
    <row r="290" spans="4:4" ht="13.5" customHeight="1">
      <c r="D290" s="45"/>
    </row>
    <row r="291" spans="4:4" ht="13.5" customHeight="1">
      <c r="D291" s="45"/>
    </row>
    <row r="292" spans="4:4" ht="13.5" customHeight="1">
      <c r="D292" s="45"/>
    </row>
    <row r="293" spans="4:4" ht="13.5" customHeight="1">
      <c r="D293" s="45"/>
    </row>
    <row r="294" spans="4:4" ht="13.5" customHeight="1">
      <c r="D294" s="45"/>
    </row>
    <row r="295" spans="4:4" ht="13.5" customHeight="1">
      <c r="D295" s="45"/>
    </row>
    <row r="296" spans="4:4" ht="13.5" customHeight="1">
      <c r="D296" s="45"/>
    </row>
    <row r="297" spans="4:4" ht="13.5" customHeight="1">
      <c r="D297" s="45"/>
    </row>
    <row r="298" spans="4:4" ht="13.5" customHeight="1">
      <c r="D298" s="45"/>
    </row>
    <row r="299" spans="4:4" ht="13.5" customHeight="1">
      <c r="D299" s="45"/>
    </row>
    <row r="300" spans="4:4" ht="13.5" customHeight="1">
      <c r="D300" s="45"/>
    </row>
    <row r="301" spans="4:4" ht="13.5" customHeight="1">
      <c r="D301" s="45"/>
    </row>
    <row r="302" spans="4:4" ht="13.5" customHeight="1">
      <c r="D302" s="45"/>
    </row>
    <row r="303" spans="4:4" ht="13.5" customHeight="1">
      <c r="D303" s="45"/>
    </row>
    <row r="304" spans="4:4" ht="13.5" customHeight="1">
      <c r="D304" s="45"/>
    </row>
    <row r="305" spans="4:4" ht="13.5" customHeight="1">
      <c r="D305" s="45"/>
    </row>
    <row r="306" spans="4:4" ht="13.5" customHeight="1">
      <c r="D306" s="45"/>
    </row>
    <row r="307" spans="4:4" ht="13.5" customHeight="1">
      <c r="D307" s="45"/>
    </row>
    <row r="308" spans="4:4" ht="13.5" customHeight="1">
      <c r="D308" s="45"/>
    </row>
    <row r="309" spans="4:4" ht="13.5" customHeight="1">
      <c r="D309" s="45"/>
    </row>
    <row r="310" spans="4:4" ht="13.5" customHeight="1">
      <c r="D310" s="45"/>
    </row>
    <row r="311" spans="4:4" ht="13.5" customHeight="1">
      <c r="D311" s="45"/>
    </row>
    <row r="312" spans="4:4" ht="13.5" customHeight="1">
      <c r="D312" s="45"/>
    </row>
    <row r="313" spans="4:4" ht="13.5" customHeight="1">
      <c r="D313" s="45"/>
    </row>
    <row r="314" spans="4:4" ht="13.5" customHeight="1">
      <c r="D314" s="45"/>
    </row>
    <row r="315" spans="4:4" ht="13.5" customHeight="1">
      <c r="D315" s="45"/>
    </row>
    <row r="316" spans="4:4" ht="13.5" customHeight="1">
      <c r="D316" s="45"/>
    </row>
    <row r="317" spans="4:4" ht="13.5" customHeight="1">
      <c r="D317" s="45"/>
    </row>
    <row r="318" spans="4:4" ht="13.5" customHeight="1">
      <c r="D318" s="45"/>
    </row>
    <row r="319" spans="4:4" ht="13.5" customHeight="1">
      <c r="D319" s="45"/>
    </row>
    <row r="320" spans="4:4" ht="13.5" customHeight="1">
      <c r="D320" s="45"/>
    </row>
    <row r="321" spans="4:4" ht="13.5" customHeight="1">
      <c r="D321" s="45"/>
    </row>
    <row r="322" spans="4:4" ht="13.5" customHeight="1">
      <c r="D322" s="45"/>
    </row>
    <row r="323" spans="4:4" ht="13.5" customHeight="1">
      <c r="D323" s="45"/>
    </row>
    <row r="324" spans="4:4" ht="13.5" customHeight="1">
      <c r="D324" s="45"/>
    </row>
    <row r="325" spans="4:4" ht="13.5" customHeight="1">
      <c r="D325" s="45"/>
    </row>
    <row r="326" spans="4:4" ht="13.5" customHeight="1">
      <c r="D326" s="45"/>
    </row>
    <row r="327" spans="4:4" ht="13.5" customHeight="1">
      <c r="D327" s="45"/>
    </row>
    <row r="328" spans="4:4" ht="13.5" customHeight="1">
      <c r="D328" s="45"/>
    </row>
    <row r="329" spans="4:4" ht="13.5" customHeight="1">
      <c r="D329" s="45"/>
    </row>
    <row r="330" spans="4:4" ht="13.5" customHeight="1">
      <c r="D330" s="45"/>
    </row>
    <row r="331" spans="4:4" ht="13.5" customHeight="1">
      <c r="D331" s="45"/>
    </row>
    <row r="332" spans="4:4" ht="13.5" customHeight="1">
      <c r="D332" s="45"/>
    </row>
    <row r="333" spans="4:4" ht="13.5" customHeight="1">
      <c r="D333" s="45"/>
    </row>
    <row r="334" spans="4:4" ht="13.5" customHeight="1">
      <c r="D334" s="45"/>
    </row>
    <row r="335" spans="4:4" ht="13.5" customHeight="1">
      <c r="D335" s="45"/>
    </row>
    <row r="336" spans="4:4" ht="13.5" customHeight="1">
      <c r="D336" s="45"/>
    </row>
    <row r="337" spans="4:4" ht="13.5" customHeight="1">
      <c r="D337" s="45"/>
    </row>
    <row r="338" spans="4:4" ht="13.5" customHeight="1">
      <c r="D338" s="45"/>
    </row>
    <row r="339" spans="4:4" ht="13.5" customHeight="1">
      <c r="D339" s="45"/>
    </row>
    <row r="340" spans="4:4" ht="13.5" customHeight="1">
      <c r="D340" s="45"/>
    </row>
    <row r="341" spans="4:4" ht="13.5" customHeight="1">
      <c r="D341" s="45"/>
    </row>
    <row r="342" spans="4:4" ht="13.5" customHeight="1">
      <c r="D342" s="45"/>
    </row>
    <row r="343" spans="4:4" ht="13.5" customHeight="1">
      <c r="D343" s="45"/>
    </row>
    <row r="344" spans="4:4" ht="13.5" customHeight="1">
      <c r="D344" s="45"/>
    </row>
    <row r="345" spans="4:4" ht="13.5" customHeight="1">
      <c r="D345" s="45"/>
    </row>
    <row r="346" spans="4:4" ht="13.5" customHeight="1">
      <c r="D346" s="45"/>
    </row>
    <row r="347" spans="4:4" ht="13.5" customHeight="1">
      <c r="D347" s="45"/>
    </row>
    <row r="348" spans="4:4" ht="13.5" customHeight="1">
      <c r="D348" s="45"/>
    </row>
    <row r="349" spans="4:4" ht="13.5" customHeight="1">
      <c r="D349" s="45"/>
    </row>
    <row r="350" spans="4:4" ht="13.5" customHeight="1">
      <c r="D350" s="45"/>
    </row>
    <row r="351" spans="4:4" ht="13.5" customHeight="1">
      <c r="D351" s="45"/>
    </row>
    <row r="352" spans="4:4" ht="13.5" customHeight="1">
      <c r="D352" s="45"/>
    </row>
    <row r="353" spans="4:4" ht="13.5" customHeight="1">
      <c r="D353" s="45"/>
    </row>
    <row r="354" spans="4:4" ht="13.5" customHeight="1">
      <c r="D354" s="45"/>
    </row>
    <row r="355" spans="4:4" ht="13.5" customHeight="1">
      <c r="D355" s="45"/>
    </row>
    <row r="356" spans="4:4" ht="13.5" customHeight="1">
      <c r="D356" s="45"/>
    </row>
    <row r="357" spans="4:4" ht="13.5" customHeight="1">
      <c r="D357" s="45"/>
    </row>
    <row r="358" spans="4:4" ht="13.5" customHeight="1">
      <c r="D358" s="45"/>
    </row>
    <row r="359" spans="4:4" ht="13.5" customHeight="1">
      <c r="D359" s="45"/>
    </row>
    <row r="360" spans="4:4" ht="13.5" customHeight="1">
      <c r="D360" s="45"/>
    </row>
    <row r="361" spans="4:4" ht="13.5" customHeight="1">
      <c r="D361" s="45"/>
    </row>
    <row r="362" spans="4:4" ht="13.5" customHeight="1">
      <c r="D362" s="45"/>
    </row>
    <row r="363" spans="4:4" ht="13.5" customHeight="1">
      <c r="D363" s="45"/>
    </row>
    <row r="364" spans="4:4" ht="13.5" customHeight="1">
      <c r="D364" s="45"/>
    </row>
    <row r="365" spans="4:4" ht="13.5" customHeight="1">
      <c r="D365" s="45"/>
    </row>
    <row r="366" spans="4:4" ht="13.5" customHeight="1">
      <c r="D366" s="45"/>
    </row>
    <row r="367" spans="4:4" ht="13.5" customHeight="1">
      <c r="D367" s="45"/>
    </row>
    <row r="368" spans="4:4" ht="13.5" customHeight="1">
      <c r="D368" s="45"/>
    </row>
    <row r="369" spans="4:4" ht="13.5" customHeight="1">
      <c r="D369" s="45"/>
    </row>
    <row r="370" spans="4:4" ht="13.5" customHeight="1">
      <c r="D370" s="45"/>
    </row>
    <row r="371" spans="4:4" ht="13.5" customHeight="1">
      <c r="D371" s="45"/>
    </row>
    <row r="372" spans="4:4" ht="13.5" customHeight="1">
      <c r="D372" s="45"/>
    </row>
    <row r="373" spans="4:4" ht="13.5" customHeight="1">
      <c r="D373" s="45"/>
    </row>
    <row r="374" spans="4:4" ht="13.5" customHeight="1">
      <c r="D374" s="45"/>
    </row>
    <row r="375" spans="4:4" ht="13.5" customHeight="1">
      <c r="D375" s="45"/>
    </row>
    <row r="376" spans="4:4" ht="13.5" customHeight="1">
      <c r="D376" s="45"/>
    </row>
    <row r="377" spans="4:4" ht="13.5" customHeight="1">
      <c r="D377" s="45"/>
    </row>
    <row r="378" spans="4:4" ht="13.5" customHeight="1">
      <c r="D378" s="45"/>
    </row>
    <row r="379" spans="4:4" ht="13.5" customHeight="1">
      <c r="D379" s="45"/>
    </row>
    <row r="380" spans="4:4" ht="13.5" customHeight="1">
      <c r="D380" s="45"/>
    </row>
    <row r="381" spans="4:4" ht="13.5" customHeight="1">
      <c r="D381" s="45"/>
    </row>
    <row r="382" spans="4:4" ht="13.5" customHeight="1">
      <c r="D382" s="45"/>
    </row>
    <row r="383" spans="4:4" ht="13.5" customHeight="1">
      <c r="D383" s="45"/>
    </row>
    <row r="384" spans="4:4" ht="13.5" customHeight="1">
      <c r="D384" s="45"/>
    </row>
    <row r="385" spans="4:4" ht="13.5" customHeight="1">
      <c r="D385" s="45"/>
    </row>
    <row r="386" spans="4:4" ht="13.5" customHeight="1">
      <c r="D386" s="45"/>
    </row>
    <row r="387" spans="4:4" ht="13.5" customHeight="1">
      <c r="D387" s="45"/>
    </row>
    <row r="388" spans="4:4" ht="13.5" customHeight="1">
      <c r="D388" s="45"/>
    </row>
    <row r="389" spans="4:4" ht="13.5" customHeight="1">
      <c r="D389" s="45"/>
    </row>
    <row r="390" spans="4:4" ht="13.5" customHeight="1">
      <c r="D390" s="45"/>
    </row>
    <row r="391" spans="4:4" ht="13.5" customHeight="1">
      <c r="D391" s="45"/>
    </row>
    <row r="392" spans="4:4" ht="13.5" customHeight="1">
      <c r="D392" s="45"/>
    </row>
    <row r="393" spans="4:4" ht="13.5" customHeight="1">
      <c r="D393" s="45"/>
    </row>
    <row r="394" spans="4:4" ht="13.5" customHeight="1">
      <c r="D394" s="45"/>
    </row>
    <row r="395" spans="4:4" ht="13.5" customHeight="1">
      <c r="D395" s="45"/>
    </row>
    <row r="396" spans="4:4" ht="13.5" customHeight="1">
      <c r="D396" s="45"/>
    </row>
    <row r="397" spans="4:4" ht="13.5" customHeight="1">
      <c r="D397" s="45"/>
    </row>
    <row r="398" spans="4:4" ht="13.5" customHeight="1">
      <c r="D398" s="45"/>
    </row>
    <row r="399" spans="4:4" ht="13.5" customHeight="1">
      <c r="D399" s="45"/>
    </row>
    <row r="400" spans="4:4" ht="13.5" customHeight="1">
      <c r="D400" s="45"/>
    </row>
    <row r="401" spans="4:4" ht="13.5" customHeight="1">
      <c r="D401" s="45"/>
    </row>
    <row r="402" spans="4:4" ht="13.5" customHeight="1">
      <c r="D402" s="45"/>
    </row>
    <row r="403" spans="4:4" ht="13.5" customHeight="1">
      <c r="D403" s="45"/>
    </row>
    <row r="404" spans="4:4" ht="13.5" customHeight="1">
      <c r="D404" s="45"/>
    </row>
    <row r="405" spans="4:4" ht="13.5" customHeight="1">
      <c r="D405" s="45"/>
    </row>
    <row r="406" spans="4:4" ht="13.5" customHeight="1">
      <c r="D406" s="45"/>
    </row>
    <row r="407" spans="4:4" ht="13.5" customHeight="1">
      <c r="D407" s="45"/>
    </row>
    <row r="408" spans="4:4" ht="13.5" customHeight="1">
      <c r="D408" s="45"/>
    </row>
    <row r="409" spans="4:4" ht="13.5" customHeight="1">
      <c r="D409" s="45"/>
    </row>
    <row r="410" spans="4:4" ht="13.5" customHeight="1">
      <c r="D410" s="45"/>
    </row>
    <row r="411" spans="4:4" ht="13.5" customHeight="1">
      <c r="D411" s="45"/>
    </row>
    <row r="412" spans="4:4" ht="13.5" customHeight="1">
      <c r="D412" s="45"/>
    </row>
    <row r="413" spans="4:4" ht="13.5" customHeight="1">
      <c r="D413" s="45"/>
    </row>
    <row r="414" spans="4:4" ht="13.5" customHeight="1">
      <c r="D414" s="45"/>
    </row>
    <row r="415" spans="4:4" ht="13.5" customHeight="1">
      <c r="D415" s="45"/>
    </row>
    <row r="416" spans="4:4" ht="13.5" customHeight="1">
      <c r="D416" s="45"/>
    </row>
    <row r="417" spans="4:4" ht="13.5" customHeight="1">
      <c r="D417" s="45"/>
    </row>
    <row r="418" spans="4:4" ht="13.5" customHeight="1">
      <c r="D418" s="45"/>
    </row>
    <row r="419" spans="4:4" ht="13.5" customHeight="1">
      <c r="D419" s="45"/>
    </row>
    <row r="420" spans="4:4" ht="13.5" customHeight="1">
      <c r="D420" s="45"/>
    </row>
    <row r="421" spans="4:4" ht="13.5" customHeight="1">
      <c r="D421" s="45"/>
    </row>
    <row r="422" spans="4:4" ht="13.5" customHeight="1">
      <c r="D422" s="45"/>
    </row>
    <row r="423" spans="4:4" ht="13.5" customHeight="1">
      <c r="D423" s="45"/>
    </row>
    <row r="424" spans="4:4" ht="13.5" customHeight="1">
      <c r="D424" s="45"/>
    </row>
    <row r="425" spans="4:4" ht="13.5" customHeight="1">
      <c r="D425" s="45"/>
    </row>
    <row r="426" spans="4:4" ht="13.5" customHeight="1">
      <c r="D426" s="45"/>
    </row>
    <row r="427" spans="4:4" ht="13.5" customHeight="1">
      <c r="D427" s="45"/>
    </row>
    <row r="428" spans="4:4" ht="13.5" customHeight="1">
      <c r="D428" s="45"/>
    </row>
    <row r="429" spans="4:4" ht="13.5" customHeight="1">
      <c r="D429" s="45"/>
    </row>
    <row r="430" spans="4:4" ht="13.5" customHeight="1">
      <c r="D430" s="45"/>
    </row>
    <row r="431" spans="4:4" ht="13.5" customHeight="1">
      <c r="D431" s="45"/>
    </row>
    <row r="432" spans="4:4" ht="13.5" customHeight="1">
      <c r="D432" s="45"/>
    </row>
    <row r="433" spans="4:4" ht="13.5" customHeight="1">
      <c r="D433" s="45"/>
    </row>
    <row r="434" spans="4:4" ht="13.5" customHeight="1">
      <c r="D434" s="45"/>
    </row>
    <row r="435" spans="4:4" ht="13.5" customHeight="1">
      <c r="D435" s="45"/>
    </row>
    <row r="436" spans="4:4" ht="13.5" customHeight="1">
      <c r="D436" s="45"/>
    </row>
    <row r="437" spans="4:4" ht="13.5" customHeight="1">
      <c r="D437" s="45"/>
    </row>
    <row r="438" spans="4:4" ht="13.5" customHeight="1">
      <c r="D438" s="45"/>
    </row>
    <row r="439" spans="4:4" ht="13.5" customHeight="1">
      <c r="D439" s="45"/>
    </row>
    <row r="440" spans="4:4" ht="13.5" customHeight="1">
      <c r="D440" s="45"/>
    </row>
    <row r="441" spans="4:4" ht="13.5" customHeight="1">
      <c r="D441" s="45"/>
    </row>
    <row r="442" spans="4:4" ht="13.5" customHeight="1">
      <c r="D442" s="45"/>
    </row>
    <row r="443" spans="4:4" ht="13.5" customHeight="1">
      <c r="D443" s="45"/>
    </row>
    <row r="444" spans="4:4" ht="13.5" customHeight="1">
      <c r="D444" s="45"/>
    </row>
    <row r="445" spans="4:4" ht="13.5" customHeight="1">
      <c r="D445" s="45"/>
    </row>
    <row r="446" spans="4:4" ht="13.5" customHeight="1">
      <c r="D446" s="45"/>
    </row>
    <row r="447" spans="4:4" ht="13.5" customHeight="1">
      <c r="D447" s="45"/>
    </row>
    <row r="448" spans="4:4" ht="13.5" customHeight="1">
      <c r="D448" s="45"/>
    </row>
    <row r="449" spans="4:4" ht="13.5" customHeight="1">
      <c r="D449" s="45"/>
    </row>
    <row r="450" spans="4:4" ht="13.5" customHeight="1">
      <c r="D450" s="45"/>
    </row>
    <row r="451" spans="4:4" ht="13.5" customHeight="1">
      <c r="D451" s="45"/>
    </row>
    <row r="452" spans="4:4" ht="13.5" customHeight="1">
      <c r="D452" s="45"/>
    </row>
    <row r="453" spans="4:4" ht="13.5" customHeight="1">
      <c r="D453" s="45"/>
    </row>
    <row r="454" spans="4:4" ht="13.5" customHeight="1">
      <c r="D454" s="45"/>
    </row>
    <row r="455" spans="4:4" ht="13.5" customHeight="1">
      <c r="D455" s="45"/>
    </row>
    <row r="456" spans="4:4" ht="13.5" customHeight="1">
      <c r="D456" s="45"/>
    </row>
    <row r="457" spans="4:4" ht="13.5" customHeight="1">
      <c r="D457" s="45"/>
    </row>
    <row r="458" spans="4:4" ht="13.5" customHeight="1">
      <c r="D458" s="45"/>
    </row>
    <row r="459" spans="4:4" ht="13.5" customHeight="1">
      <c r="D459" s="45"/>
    </row>
    <row r="460" spans="4:4" ht="13.5" customHeight="1">
      <c r="D460" s="45"/>
    </row>
    <row r="461" spans="4:4" ht="13.5" customHeight="1">
      <c r="D461" s="45"/>
    </row>
    <row r="462" spans="4:4" ht="13.5" customHeight="1">
      <c r="D462" s="45"/>
    </row>
    <row r="463" spans="4:4" ht="13.5" customHeight="1">
      <c r="D463" s="45"/>
    </row>
    <row r="464" spans="4:4" ht="13.5" customHeight="1">
      <c r="D464" s="45"/>
    </row>
    <row r="465" spans="4:4" ht="13.5" customHeight="1">
      <c r="D465" s="45"/>
    </row>
    <row r="466" spans="4:4" ht="13.5" customHeight="1">
      <c r="D466" s="45"/>
    </row>
    <row r="467" spans="4:4" ht="13.5" customHeight="1">
      <c r="D467" s="45"/>
    </row>
    <row r="468" spans="4:4" ht="13.5" customHeight="1">
      <c r="D468" s="45"/>
    </row>
    <row r="469" spans="4:4" ht="13.5" customHeight="1">
      <c r="D469" s="45"/>
    </row>
    <row r="470" spans="4:4" ht="13.5" customHeight="1">
      <c r="D470" s="45"/>
    </row>
    <row r="471" spans="4:4" ht="13.5" customHeight="1">
      <c r="D471" s="45"/>
    </row>
    <row r="472" spans="4:4" ht="13.5" customHeight="1">
      <c r="D472" s="45"/>
    </row>
    <row r="473" spans="4:4" ht="13.5" customHeight="1">
      <c r="D473" s="45"/>
    </row>
    <row r="474" spans="4:4" ht="13.5" customHeight="1">
      <c r="D474" s="45"/>
    </row>
    <row r="475" spans="4:4" ht="13.5" customHeight="1">
      <c r="D475" s="45"/>
    </row>
    <row r="476" spans="4:4" ht="13.5" customHeight="1">
      <c r="D476" s="45"/>
    </row>
    <row r="477" spans="4:4" ht="13.5" customHeight="1">
      <c r="D477" s="45"/>
    </row>
    <row r="478" spans="4:4" ht="13.5" customHeight="1">
      <c r="D478" s="45"/>
    </row>
    <row r="479" spans="4:4" ht="13.5" customHeight="1">
      <c r="D479" s="45"/>
    </row>
    <row r="480" spans="4:4" ht="13.5" customHeight="1">
      <c r="D480" s="45"/>
    </row>
    <row r="481" spans="4:4" ht="13.5" customHeight="1">
      <c r="D481" s="45"/>
    </row>
    <row r="482" spans="4:4" ht="13.5" customHeight="1">
      <c r="D482" s="45"/>
    </row>
    <row r="483" spans="4:4" ht="13.5" customHeight="1">
      <c r="D483" s="45"/>
    </row>
    <row r="484" spans="4:4" ht="13.5" customHeight="1">
      <c r="D484" s="45"/>
    </row>
    <row r="485" spans="4:4" ht="13.5" customHeight="1">
      <c r="D485" s="45"/>
    </row>
    <row r="486" spans="4:4" ht="13.5" customHeight="1">
      <c r="D486" s="45"/>
    </row>
    <row r="487" spans="4:4" ht="13.5" customHeight="1">
      <c r="D487" s="45"/>
    </row>
    <row r="488" spans="4:4" ht="13.5" customHeight="1">
      <c r="D488" s="45"/>
    </row>
    <row r="489" spans="4:4" ht="13.5" customHeight="1">
      <c r="D489" s="45"/>
    </row>
    <row r="490" spans="4:4" ht="13.5" customHeight="1">
      <c r="D490" s="45"/>
    </row>
    <row r="491" spans="4:4" ht="13.5" customHeight="1">
      <c r="D491" s="45"/>
    </row>
    <row r="492" spans="4:4" ht="13.5" customHeight="1">
      <c r="D492" s="45"/>
    </row>
    <row r="493" spans="4:4" ht="13.5" customHeight="1">
      <c r="D493" s="45"/>
    </row>
    <row r="494" spans="4:4" ht="13.5" customHeight="1">
      <c r="D494" s="45"/>
    </row>
    <row r="495" spans="4:4" ht="13.5" customHeight="1">
      <c r="D495" s="45"/>
    </row>
    <row r="496" spans="4:4" ht="13.5" customHeight="1">
      <c r="D496" s="45"/>
    </row>
    <row r="497" spans="4:4" ht="13.5" customHeight="1">
      <c r="D497" s="45"/>
    </row>
    <row r="498" spans="4:4" ht="13.5" customHeight="1">
      <c r="D498" s="45"/>
    </row>
    <row r="499" spans="4:4" ht="13.5" customHeight="1">
      <c r="D499" s="45"/>
    </row>
    <row r="500" spans="4:4" ht="13.5" customHeight="1">
      <c r="D500" s="45"/>
    </row>
    <row r="501" spans="4:4" ht="13.5" customHeight="1">
      <c r="D501" s="45"/>
    </row>
    <row r="502" spans="4:4" ht="13.5" customHeight="1">
      <c r="D502" s="45"/>
    </row>
    <row r="503" spans="4:4" ht="13.5" customHeight="1">
      <c r="D503" s="45"/>
    </row>
    <row r="504" spans="4:4" ht="13.5" customHeight="1">
      <c r="D504" s="45"/>
    </row>
    <row r="505" spans="4:4" ht="13.5" customHeight="1">
      <c r="D505" s="45"/>
    </row>
    <row r="506" spans="4:4" ht="13.5" customHeight="1">
      <c r="D506" s="45"/>
    </row>
    <row r="507" spans="4:4" ht="13.5" customHeight="1">
      <c r="D507" s="45"/>
    </row>
    <row r="508" spans="4:4" ht="13.5" customHeight="1">
      <c r="D508" s="45"/>
    </row>
    <row r="509" spans="4:4" ht="13.5" customHeight="1">
      <c r="D509" s="45"/>
    </row>
    <row r="510" spans="4:4" ht="13.5" customHeight="1">
      <c r="D510" s="45"/>
    </row>
    <row r="511" spans="4:4" ht="13.5" customHeight="1">
      <c r="D511" s="45"/>
    </row>
    <row r="512" spans="4:4" ht="13.5" customHeight="1">
      <c r="D512" s="45"/>
    </row>
    <row r="513" spans="4:4" ht="13.5" customHeight="1">
      <c r="D513" s="45"/>
    </row>
    <row r="514" spans="4:4" ht="13.5" customHeight="1">
      <c r="D514" s="45"/>
    </row>
    <row r="515" spans="4:4" ht="13.5" customHeight="1">
      <c r="D515" s="45"/>
    </row>
    <row r="516" spans="4:4" ht="13.5" customHeight="1">
      <c r="D516" s="45"/>
    </row>
    <row r="517" spans="4:4" ht="13.5" customHeight="1">
      <c r="D517" s="45"/>
    </row>
    <row r="518" spans="4:4" ht="13.5" customHeight="1">
      <c r="D518" s="45"/>
    </row>
    <row r="519" spans="4:4" ht="13.5" customHeight="1">
      <c r="D519" s="45"/>
    </row>
    <row r="520" spans="4:4" ht="13.5" customHeight="1">
      <c r="D520" s="45"/>
    </row>
    <row r="521" spans="4:4" ht="13.5" customHeight="1">
      <c r="D521" s="45"/>
    </row>
    <row r="522" spans="4:4" ht="13.5" customHeight="1">
      <c r="D522" s="45"/>
    </row>
    <row r="523" spans="4:4" ht="13.5" customHeight="1">
      <c r="D523" s="45"/>
    </row>
    <row r="524" spans="4:4" ht="13.5" customHeight="1">
      <c r="D524" s="45"/>
    </row>
    <row r="525" spans="4:4" ht="13.5" customHeight="1">
      <c r="D525" s="45"/>
    </row>
    <row r="526" spans="4:4" ht="13.5" customHeight="1">
      <c r="D526" s="45"/>
    </row>
    <row r="527" spans="4:4" ht="13.5" customHeight="1">
      <c r="D527" s="45"/>
    </row>
    <row r="528" spans="4:4" ht="13.5" customHeight="1">
      <c r="D528" s="45"/>
    </row>
    <row r="529" spans="4:4" ht="13.5" customHeight="1">
      <c r="D529" s="45"/>
    </row>
    <row r="530" spans="4:4" ht="13.5" customHeight="1">
      <c r="D530" s="45"/>
    </row>
    <row r="531" spans="4:4" ht="13.5" customHeight="1">
      <c r="D531" s="45"/>
    </row>
    <row r="532" spans="4:4" ht="13.5" customHeight="1">
      <c r="D532" s="45"/>
    </row>
    <row r="533" spans="4:4" ht="13.5" customHeight="1">
      <c r="D533" s="45"/>
    </row>
    <row r="534" spans="4:4" ht="13.5" customHeight="1">
      <c r="D534" s="45"/>
    </row>
    <row r="535" spans="4:4" ht="13.5" customHeight="1">
      <c r="D535" s="45"/>
    </row>
    <row r="536" spans="4:4" ht="13.5" customHeight="1">
      <c r="D536" s="45"/>
    </row>
    <row r="537" spans="4:4" ht="13.5" customHeight="1">
      <c r="D537" s="45"/>
    </row>
    <row r="538" spans="4:4" ht="13.5" customHeight="1">
      <c r="D538" s="45"/>
    </row>
    <row r="539" spans="4:4" ht="13.5" customHeight="1">
      <c r="D539" s="45"/>
    </row>
    <row r="540" spans="4:4" ht="13.5" customHeight="1">
      <c r="D540" s="45"/>
    </row>
    <row r="541" spans="4:4" ht="13.5" customHeight="1">
      <c r="D541" s="45"/>
    </row>
    <row r="542" spans="4:4" ht="13.5" customHeight="1">
      <c r="D542" s="45"/>
    </row>
    <row r="543" spans="4:4" ht="13.5" customHeight="1">
      <c r="D543" s="45"/>
    </row>
    <row r="544" spans="4:4" ht="13.5" customHeight="1">
      <c r="D544" s="45"/>
    </row>
    <row r="545" spans="4:4" ht="13.5" customHeight="1">
      <c r="D545" s="45"/>
    </row>
    <row r="546" spans="4:4" ht="13.5" customHeight="1">
      <c r="D546" s="45"/>
    </row>
    <row r="547" spans="4:4" ht="13.5" customHeight="1">
      <c r="D547" s="45"/>
    </row>
    <row r="548" spans="4:4" ht="13.5" customHeight="1">
      <c r="D548" s="45"/>
    </row>
    <row r="549" spans="4:4" ht="13.5" customHeight="1">
      <c r="D549" s="45"/>
    </row>
    <row r="550" spans="4:4" ht="13.5" customHeight="1">
      <c r="D550" s="45"/>
    </row>
    <row r="551" spans="4:4" ht="13.5" customHeight="1">
      <c r="D551" s="45"/>
    </row>
    <row r="552" spans="4:4" ht="13.5" customHeight="1">
      <c r="D552" s="45"/>
    </row>
    <row r="553" spans="4:4" ht="13.5" customHeight="1">
      <c r="D553" s="45"/>
    </row>
    <row r="554" spans="4:4" ht="13.5" customHeight="1">
      <c r="D554" s="45"/>
    </row>
    <row r="555" spans="4:4" ht="13.5" customHeight="1">
      <c r="D555" s="45"/>
    </row>
    <row r="556" spans="4:4" ht="13.5" customHeight="1">
      <c r="D556" s="45"/>
    </row>
    <row r="557" spans="4:4" ht="13.5" customHeight="1">
      <c r="D557" s="45"/>
    </row>
    <row r="558" spans="4:4" ht="13.5" customHeight="1">
      <c r="D558" s="45"/>
    </row>
    <row r="559" spans="4:4" ht="13.5" customHeight="1">
      <c r="D559" s="45"/>
    </row>
    <row r="560" spans="4:4" ht="13.5" customHeight="1">
      <c r="D560" s="45"/>
    </row>
    <row r="561" spans="4:4" ht="13.5" customHeight="1">
      <c r="D561" s="45"/>
    </row>
    <row r="562" spans="4:4" ht="13.5" customHeight="1">
      <c r="D562" s="45"/>
    </row>
    <row r="563" spans="4:4" ht="13.5" customHeight="1">
      <c r="D563" s="45"/>
    </row>
    <row r="564" spans="4:4" ht="13.5" customHeight="1">
      <c r="D564" s="45"/>
    </row>
    <row r="565" spans="4:4" ht="13.5" customHeight="1">
      <c r="D565" s="45"/>
    </row>
    <row r="566" spans="4:4" ht="13.5" customHeight="1">
      <c r="D566" s="45"/>
    </row>
    <row r="567" spans="4:4" ht="13.5" customHeight="1">
      <c r="D567" s="45"/>
    </row>
    <row r="568" spans="4:4" ht="13.5" customHeight="1">
      <c r="D568" s="45"/>
    </row>
    <row r="569" spans="4:4" ht="13.5" customHeight="1">
      <c r="D569" s="45"/>
    </row>
    <row r="570" spans="4:4" ht="13.5" customHeight="1">
      <c r="D570" s="45"/>
    </row>
    <row r="571" spans="4:4" ht="13.5" customHeight="1">
      <c r="D571" s="45"/>
    </row>
    <row r="572" spans="4:4" ht="13.5" customHeight="1">
      <c r="D572" s="45"/>
    </row>
    <row r="573" spans="4:4" ht="13.5" customHeight="1">
      <c r="D573" s="45"/>
    </row>
    <row r="574" spans="4:4" ht="13.5" customHeight="1">
      <c r="D574" s="45"/>
    </row>
    <row r="575" spans="4:4" ht="13.5" customHeight="1">
      <c r="D575" s="45"/>
    </row>
    <row r="576" spans="4:4" ht="13.5" customHeight="1">
      <c r="D576" s="45"/>
    </row>
    <row r="577" spans="4:4" ht="13.5" customHeight="1">
      <c r="D577" s="45"/>
    </row>
    <row r="578" spans="4:4" ht="13.5" customHeight="1">
      <c r="D578" s="45"/>
    </row>
    <row r="579" spans="4:4" ht="13.5" customHeight="1">
      <c r="D579" s="45"/>
    </row>
    <row r="580" spans="4:4" ht="13.5" customHeight="1">
      <c r="D580" s="45"/>
    </row>
    <row r="581" spans="4:4" ht="13.5" customHeight="1">
      <c r="D581" s="45"/>
    </row>
    <row r="582" spans="4:4" ht="13.5" customHeight="1">
      <c r="D582" s="45"/>
    </row>
    <row r="583" spans="4:4" ht="13.5" customHeight="1">
      <c r="D583" s="45"/>
    </row>
    <row r="584" spans="4:4" ht="13.5" customHeight="1">
      <c r="D584" s="45"/>
    </row>
    <row r="585" spans="4:4" ht="13.5" customHeight="1">
      <c r="D585" s="45"/>
    </row>
    <row r="586" spans="4:4" ht="13.5" customHeight="1">
      <c r="D586" s="45"/>
    </row>
    <row r="587" spans="4:4" ht="13.5" customHeight="1">
      <c r="D587" s="45"/>
    </row>
    <row r="588" spans="4:4" ht="13.5" customHeight="1">
      <c r="D588" s="45"/>
    </row>
    <row r="589" spans="4:4" ht="13.5" customHeight="1">
      <c r="D589" s="45"/>
    </row>
    <row r="590" spans="4:4" ht="13.5" customHeight="1">
      <c r="D590" s="45"/>
    </row>
    <row r="591" spans="4:4" ht="13.5" customHeight="1">
      <c r="D591" s="45"/>
    </row>
    <row r="592" spans="4:4" ht="13.5" customHeight="1">
      <c r="D592" s="45"/>
    </row>
    <row r="593" spans="4:4" ht="13.5" customHeight="1">
      <c r="D593" s="45"/>
    </row>
    <row r="594" spans="4:4" ht="13.5" customHeight="1">
      <c r="D594" s="45"/>
    </row>
    <row r="595" spans="4:4" ht="13.5" customHeight="1">
      <c r="D595" s="45"/>
    </row>
    <row r="596" spans="4:4" ht="13.5" customHeight="1">
      <c r="D596" s="45"/>
    </row>
    <row r="597" spans="4:4" ht="13.5" customHeight="1">
      <c r="D597" s="45"/>
    </row>
    <row r="598" spans="4:4" ht="13.5" customHeight="1">
      <c r="D598" s="45"/>
    </row>
    <row r="599" spans="4:4" ht="13.5" customHeight="1">
      <c r="D599" s="45"/>
    </row>
    <row r="600" spans="4:4" ht="13.5" customHeight="1">
      <c r="D600" s="45"/>
    </row>
    <row r="601" spans="4:4" ht="13.5" customHeight="1">
      <c r="D601" s="45"/>
    </row>
    <row r="602" spans="4:4" ht="13.5" customHeight="1">
      <c r="D602" s="45"/>
    </row>
    <row r="603" spans="4:4" ht="13.5" customHeight="1">
      <c r="D603" s="45"/>
    </row>
    <row r="604" spans="4:4" ht="13.5" customHeight="1">
      <c r="D604" s="45"/>
    </row>
    <row r="605" spans="4:4" ht="13.5" customHeight="1">
      <c r="D605" s="45"/>
    </row>
    <row r="606" spans="4:4" ht="13.5" customHeight="1">
      <c r="D606" s="45"/>
    </row>
    <row r="607" spans="4:4" ht="13.5" customHeight="1">
      <c r="D607" s="45"/>
    </row>
    <row r="608" spans="4:4" ht="13.5" customHeight="1">
      <c r="D608" s="45"/>
    </row>
    <row r="609" spans="4:4" ht="13.5" customHeight="1">
      <c r="D609" s="45"/>
    </row>
    <row r="610" spans="4:4" ht="13.5" customHeight="1">
      <c r="D610" s="45"/>
    </row>
    <row r="611" spans="4:4" ht="13.5" customHeight="1">
      <c r="D611" s="45"/>
    </row>
    <row r="612" spans="4:4" ht="13.5" customHeight="1">
      <c r="D612" s="45"/>
    </row>
    <row r="613" spans="4:4" ht="13.5" customHeight="1">
      <c r="D613" s="45"/>
    </row>
    <row r="614" spans="4:4" ht="13.5" customHeight="1">
      <c r="D614" s="45"/>
    </row>
    <row r="615" spans="4:4" ht="13.5" customHeight="1">
      <c r="D615" s="45"/>
    </row>
    <row r="616" spans="4:4" ht="13.5" customHeight="1">
      <c r="D616" s="45"/>
    </row>
    <row r="617" spans="4:4" ht="13.5" customHeight="1">
      <c r="D617" s="45"/>
    </row>
    <row r="618" spans="4:4" ht="13.5" customHeight="1">
      <c r="D618" s="45"/>
    </row>
    <row r="619" spans="4:4" ht="13.5" customHeight="1">
      <c r="D619" s="45"/>
    </row>
    <row r="620" spans="4:4" ht="13.5" customHeight="1">
      <c r="D620" s="45"/>
    </row>
    <row r="621" spans="4:4" ht="13.5" customHeight="1">
      <c r="D621" s="45"/>
    </row>
    <row r="622" spans="4:4" ht="13.5" customHeight="1">
      <c r="D622" s="45"/>
    </row>
    <row r="623" spans="4:4" ht="13.5" customHeight="1">
      <c r="D623" s="45"/>
    </row>
    <row r="624" spans="4:4" ht="13.5" customHeight="1">
      <c r="D624" s="45"/>
    </row>
    <row r="625" spans="4:4" ht="13.5" customHeight="1">
      <c r="D625" s="45"/>
    </row>
    <row r="626" spans="4:4" ht="13.5" customHeight="1">
      <c r="D626" s="45"/>
    </row>
    <row r="627" spans="4:4" ht="13.5" customHeight="1">
      <c r="D627" s="45"/>
    </row>
    <row r="628" spans="4:4" ht="13.5" customHeight="1">
      <c r="D628" s="45"/>
    </row>
    <row r="629" spans="4:4" ht="13.5" customHeight="1">
      <c r="D629" s="45"/>
    </row>
    <row r="630" spans="4:4" ht="13.5" customHeight="1">
      <c r="D630" s="45"/>
    </row>
    <row r="631" spans="4:4" ht="13.5" customHeight="1">
      <c r="D631" s="45"/>
    </row>
    <row r="632" spans="4:4" ht="13.5" customHeight="1">
      <c r="D632" s="45"/>
    </row>
    <row r="633" spans="4:4" ht="13.5" customHeight="1">
      <c r="D633" s="45"/>
    </row>
    <row r="634" spans="4:4" ht="13.5" customHeight="1">
      <c r="D634" s="45"/>
    </row>
    <row r="635" spans="4:4" ht="13.5" customHeight="1">
      <c r="D635" s="45"/>
    </row>
    <row r="636" spans="4:4" ht="13.5" customHeight="1">
      <c r="D636" s="45"/>
    </row>
    <row r="637" spans="4:4" ht="13.5" customHeight="1">
      <c r="D637" s="45"/>
    </row>
    <row r="638" spans="4:4" ht="13.5" customHeight="1">
      <c r="D638" s="45"/>
    </row>
    <row r="639" spans="4:4" ht="13.5" customHeight="1">
      <c r="D639" s="45"/>
    </row>
    <row r="640" spans="4:4" ht="13.5" customHeight="1">
      <c r="D640" s="45"/>
    </row>
    <row r="641" spans="4:4" ht="13.5" customHeight="1">
      <c r="D641" s="45"/>
    </row>
    <row r="642" spans="4:4" ht="13.5" customHeight="1">
      <c r="D642" s="45"/>
    </row>
    <row r="643" spans="4:4" ht="13.5" customHeight="1">
      <c r="D643" s="45"/>
    </row>
    <row r="644" spans="4:4" ht="13.5" customHeight="1">
      <c r="D644" s="45"/>
    </row>
    <row r="645" spans="4:4" ht="13.5" customHeight="1">
      <c r="D645" s="45"/>
    </row>
    <row r="646" spans="4:4" ht="13.5" customHeight="1">
      <c r="D646" s="45"/>
    </row>
    <row r="647" spans="4:4" ht="13.5" customHeight="1">
      <c r="D647" s="45"/>
    </row>
    <row r="648" spans="4:4" ht="13.5" customHeight="1">
      <c r="D648" s="45"/>
    </row>
    <row r="649" spans="4:4" ht="13.5" customHeight="1">
      <c r="D649" s="45"/>
    </row>
    <row r="650" spans="4:4" ht="13.5" customHeight="1">
      <c r="D650" s="45"/>
    </row>
    <row r="651" spans="4:4" ht="13.5" customHeight="1">
      <c r="D651" s="45"/>
    </row>
    <row r="652" spans="4:4" ht="13.5" customHeight="1">
      <c r="D652" s="45"/>
    </row>
    <row r="653" spans="4:4" ht="13.5" customHeight="1">
      <c r="D653" s="45"/>
    </row>
    <row r="654" spans="4:4" ht="13.5" customHeight="1">
      <c r="D654" s="45"/>
    </row>
    <row r="655" spans="4:4" ht="13.5" customHeight="1">
      <c r="D655" s="45"/>
    </row>
    <row r="656" spans="4:4" ht="13.5" customHeight="1">
      <c r="D656" s="45"/>
    </row>
    <row r="657" spans="4:4" ht="13.5" customHeight="1">
      <c r="D657" s="45"/>
    </row>
    <row r="658" spans="4:4" ht="13.5" customHeight="1">
      <c r="D658" s="45"/>
    </row>
    <row r="659" spans="4:4" ht="13.5" customHeight="1">
      <c r="D659" s="45"/>
    </row>
    <row r="660" spans="4:4" ht="13.5" customHeight="1">
      <c r="D660" s="45"/>
    </row>
    <row r="661" spans="4:4" ht="13.5" customHeight="1">
      <c r="D661" s="45"/>
    </row>
    <row r="662" spans="4:4" ht="13.5" customHeight="1">
      <c r="D662" s="45"/>
    </row>
    <row r="663" spans="4:4" ht="13.5" customHeight="1">
      <c r="D663" s="45"/>
    </row>
    <row r="664" spans="4:4" ht="13.5" customHeight="1">
      <c r="D664" s="45"/>
    </row>
    <row r="665" spans="4:4" ht="13.5" customHeight="1">
      <c r="D665" s="45"/>
    </row>
    <row r="666" spans="4:4" ht="13.5" customHeight="1">
      <c r="D666" s="45"/>
    </row>
    <row r="667" spans="4:4" ht="13.5" customHeight="1">
      <c r="D667" s="45"/>
    </row>
    <row r="668" spans="4:4" ht="13.5" customHeight="1">
      <c r="D668" s="45"/>
    </row>
    <row r="669" spans="4:4" ht="13.5" customHeight="1">
      <c r="D669" s="45"/>
    </row>
    <row r="670" spans="4:4" ht="13.5" customHeight="1">
      <c r="D670" s="45"/>
    </row>
    <row r="671" spans="4:4" ht="13.5" customHeight="1">
      <c r="D671" s="45"/>
    </row>
    <row r="672" spans="4:4" ht="13.5" customHeight="1">
      <c r="D672" s="45"/>
    </row>
    <row r="673" spans="4:4" ht="13.5" customHeight="1">
      <c r="D673" s="45"/>
    </row>
    <row r="674" spans="4:4" ht="13.5" customHeight="1">
      <c r="D674" s="45"/>
    </row>
    <row r="675" spans="4:4" ht="13.5" customHeight="1">
      <c r="D675" s="45"/>
    </row>
    <row r="676" spans="4:4" ht="13.5" customHeight="1">
      <c r="D676" s="45"/>
    </row>
    <row r="677" spans="4:4" ht="13.5" customHeight="1">
      <c r="D677" s="45"/>
    </row>
    <row r="678" spans="4:4" ht="13.5" customHeight="1">
      <c r="D678" s="45"/>
    </row>
    <row r="679" spans="4:4" ht="13.5" customHeight="1">
      <c r="D679" s="45"/>
    </row>
    <row r="680" spans="4:4" ht="13.5" customHeight="1">
      <c r="D680" s="45"/>
    </row>
    <row r="681" spans="4:4" ht="13.5" customHeight="1">
      <c r="D681" s="45"/>
    </row>
    <row r="682" spans="4:4" ht="13.5" customHeight="1">
      <c r="D682" s="45"/>
    </row>
    <row r="683" spans="4:4" ht="13.5" customHeight="1">
      <c r="D683" s="45"/>
    </row>
    <row r="684" spans="4:4" ht="13.5" customHeight="1">
      <c r="D684" s="45"/>
    </row>
    <row r="685" spans="4:4" ht="13.5" customHeight="1">
      <c r="D685" s="45"/>
    </row>
    <row r="686" spans="4:4" ht="13.5" customHeight="1">
      <c r="D686" s="45"/>
    </row>
    <row r="687" spans="4:4" ht="13.5" customHeight="1">
      <c r="D687" s="45"/>
    </row>
    <row r="688" spans="4:4" ht="13.5" customHeight="1">
      <c r="D688" s="45"/>
    </row>
    <row r="689" spans="4:4" ht="13.5" customHeight="1">
      <c r="D689" s="45"/>
    </row>
    <row r="690" spans="4:4" ht="13.5" customHeight="1">
      <c r="D690" s="45"/>
    </row>
    <row r="691" spans="4:4" ht="13.5" customHeight="1">
      <c r="D691" s="45"/>
    </row>
    <row r="692" spans="4:4" ht="13.5" customHeight="1">
      <c r="D692" s="45"/>
    </row>
    <row r="693" spans="4:4" ht="13.5" customHeight="1">
      <c r="D693" s="45"/>
    </row>
    <row r="694" spans="4:4" ht="13.5" customHeight="1">
      <c r="D694" s="45"/>
    </row>
    <row r="695" spans="4:4" ht="13.5" customHeight="1">
      <c r="D695" s="45"/>
    </row>
    <row r="696" spans="4:4" ht="13.5" customHeight="1">
      <c r="D696" s="45"/>
    </row>
    <row r="697" spans="4:4" ht="13.5" customHeight="1">
      <c r="D697" s="45"/>
    </row>
    <row r="698" spans="4:4" ht="13.5" customHeight="1">
      <c r="D698" s="45"/>
    </row>
    <row r="699" spans="4:4" ht="13.5" customHeight="1">
      <c r="D699" s="45"/>
    </row>
    <row r="700" spans="4:4" ht="13.5" customHeight="1">
      <c r="D700" s="45"/>
    </row>
    <row r="701" spans="4:4" ht="13.5" customHeight="1">
      <c r="D701" s="45"/>
    </row>
    <row r="702" spans="4:4" ht="13.5" customHeight="1">
      <c r="D702" s="45"/>
    </row>
    <row r="703" spans="4:4" ht="13.5" customHeight="1">
      <c r="D703" s="45"/>
    </row>
    <row r="704" spans="4:4" ht="13.5" customHeight="1">
      <c r="D704" s="45"/>
    </row>
    <row r="705" spans="4:4" ht="13.5" customHeight="1">
      <c r="D705" s="45"/>
    </row>
    <row r="706" spans="4:4" ht="13.5" customHeight="1">
      <c r="D706" s="45"/>
    </row>
    <row r="707" spans="4:4" ht="13.5" customHeight="1">
      <c r="D707" s="45"/>
    </row>
    <row r="708" spans="4:4" ht="13.5" customHeight="1">
      <c r="D708" s="45"/>
    </row>
    <row r="709" spans="4:4" ht="13.5" customHeight="1">
      <c r="D709" s="45"/>
    </row>
    <row r="710" spans="4:4" ht="13.5" customHeight="1">
      <c r="D710" s="45"/>
    </row>
    <row r="711" spans="4:4" ht="13.5" customHeight="1">
      <c r="D711" s="45"/>
    </row>
    <row r="712" spans="4:4" ht="13.5" customHeight="1">
      <c r="D712" s="45"/>
    </row>
    <row r="713" spans="4:4" ht="13.5" customHeight="1">
      <c r="D713" s="45"/>
    </row>
    <row r="714" spans="4:4" ht="13.5" customHeight="1">
      <c r="D714" s="45"/>
    </row>
    <row r="715" spans="4:4" ht="13.5" customHeight="1">
      <c r="D715" s="45"/>
    </row>
    <row r="716" spans="4:4" ht="13.5" customHeight="1">
      <c r="D716" s="45"/>
    </row>
    <row r="717" spans="4:4" ht="13.5" customHeight="1">
      <c r="D717" s="45"/>
    </row>
    <row r="718" spans="4:4" ht="13.5" customHeight="1">
      <c r="D718" s="45"/>
    </row>
    <row r="719" spans="4:4" ht="13.5" customHeight="1">
      <c r="D719" s="45"/>
    </row>
    <row r="720" spans="4:4" ht="13.5" customHeight="1">
      <c r="D720" s="45"/>
    </row>
    <row r="721" spans="4:4" ht="13.5" customHeight="1">
      <c r="D721" s="45"/>
    </row>
    <row r="722" spans="4:4" ht="13.5" customHeight="1">
      <c r="D722" s="45"/>
    </row>
    <row r="723" spans="4:4" ht="13.5" customHeight="1">
      <c r="D723" s="45"/>
    </row>
    <row r="724" spans="4:4" ht="13.5" customHeight="1">
      <c r="D724" s="45"/>
    </row>
    <row r="725" spans="4:4" ht="13.5" customHeight="1">
      <c r="D725" s="45"/>
    </row>
    <row r="726" spans="4:4" ht="13.5" customHeight="1">
      <c r="D726" s="45"/>
    </row>
    <row r="727" spans="4:4" ht="13.5" customHeight="1">
      <c r="D727" s="45"/>
    </row>
    <row r="728" spans="4:4" ht="13.5" customHeight="1">
      <c r="D728" s="45"/>
    </row>
    <row r="729" spans="4:4" ht="13.5" customHeight="1">
      <c r="D729" s="45"/>
    </row>
    <row r="730" spans="4:4" ht="13.5" customHeight="1">
      <c r="D730" s="45"/>
    </row>
    <row r="731" spans="4:4" ht="13.5" customHeight="1">
      <c r="D731" s="45"/>
    </row>
    <row r="732" spans="4:4" ht="13.5" customHeight="1">
      <c r="D732" s="45"/>
    </row>
    <row r="733" spans="4:4" ht="13.5" customHeight="1">
      <c r="D733" s="45"/>
    </row>
    <row r="734" spans="4:4" ht="13.5" customHeight="1">
      <c r="D734" s="45"/>
    </row>
    <row r="735" spans="4:4" ht="13.5" customHeight="1">
      <c r="D735" s="45"/>
    </row>
    <row r="736" spans="4:4" ht="13.5" customHeight="1">
      <c r="D736" s="45"/>
    </row>
    <row r="737" spans="4:4" ht="13.5" customHeight="1">
      <c r="D737" s="45"/>
    </row>
    <row r="738" spans="4:4" ht="13.5" customHeight="1">
      <c r="D738" s="45"/>
    </row>
    <row r="739" spans="4:4" ht="13.5" customHeight="1">
      <c r="D739" s="45"/>
    </row>
    <row r="740" spans="4:4" ht="13.5" customHeight="1">
      <c r="D740" s="45"/>
    </row>
    <row r="741" spans="4:4" ht="13.5" customHeight="1">
      <c r="D741" s="45"/>
    </row>
    <row r="742" spans="4:4" ht="13.5" customHeight="1">
      <c r="D742" s="45"/>
    </row>
    <row r="743" spans="4:4" ht="13.5" customHeight="1">
      <c r="D743" s="45"/>
    </row>
    <row r="744" spans="4:4" ht="13.5" customHeight="1">
      <c r="D744" s="45"/>
    </row>
    <row r="745" spans="4:4" ht="13.5" customHeight="1">
      <c r="D745" s="45"/>
    </row>
    <row r="746" spans="4:4" ht="13.5" customHeight="1">
      <c r="D746" s="45"/>
    </row>
    <row r="747" spans="4:4" ht="13.5" customHeight="1">
      <c r="D747" s="45"/>
    </row>
    <row r="748" spans="4:4" ht="13.5" customHeight="1">
      <c r="D748" s="45"/>
    </row>
    <row r="749" spans="4:4" ht="13.5" customHeight="1">
      <c r="D749" s="45"/>
    </row>
    <row r="750" spans="4:4" ht="13.5" customHeight="1">
      <c r="D750" s="45"/>
    </row>
    <row r="751" spans="4:4" ht="13.5" customHeight="1">
      <c r="D751" s="45"/>
    </row>
    <row r="752" spans="4:4" ht="13.5" customHeight="1">
      <c r="D752" s="45"/>
    </row>
    <row r="753" spans="4:4" ht="13.5" customHeight="1">
      <c r="D753" s="45"/>
    </row>
    <row r="754" spans="4:4" ht="13.5" customHeight="1">
      <c r="D754" s="45"/>
    </row>
    <row r="755" spans="4:4" ht="13.5" customHeight="1">
      <c r="D755" s="45"/>
    </row>
    <row r="756" spans="4:4" ht="13.5" customHeight="1">
      <c r="D756" s="45"/>
    </row>
    <row r="757" spans="4:4" ht="13.5" customHeight="1">
      <c r="D757" s="45"/>
    </row>
    <row r="758" spans="4:4" ht="13.5" customHeight="1">
      <c r="D758" s="45"/>
    </row>
    <row r="759" spans="4:4" ht="13.5" customHeight="1">
      <c r="D759" s="45"/>
    </row>
    <row r="760" spans="4:4" ht="13.5" customHeight="1">
      <c r="D760" s="45"/>
    </row>
    <row r="761" spans="4:4" ht="13.5" customHeight="1">
      <c r="D761" s="45"/>
    </row>
    <row r="762" spans="4:4" ht="13.5" customHeight="1">
      <c r="D762" s="45"/>
    </row>
    <row r="763" spans="4:4" ht="13.5" customHeight="1">
      <c r="D763" s="45"/>
    </row>
    <row r="764" spans="4:4" ht="13.5" customHeight="1">
      <c r="D764" s="45"/>
    </row>
    <row r="765" spans="4:4" ht="13.5" customHeight="1">
      <c r="D765" s="45"/>
    </row>
    <row r="766" spans="4:4" ht="13.5" customHeight="1">
      <c r="D766" s="45"/>
    </row>
    <row r="767" spans="4:4" ht="13.5" customHeight="1">
      <c r="D767" s="45"/>
    </row>
    <row r="768" spans="4:4" ht="13.5" customHeight="1">
      <c r="D768" s="45"/>
    </row>
    <row r="769" spans="4:4" ht="13.5" customHeight="1">
      <c r="D769" s="45"/>
    </row>
    <row r="770" spans="4:4" ht="13.5" customHeight="1">
      <c r="D770" s="45"/>
    </row>
    <row r="771" spans="4:4" ht="13.5" customHeight="1">
      <c r="D771" s="45"/>
    </row>
    <row r="772" spans="4:4" ht="13.5" customHeight="1">
      <c r="D772" s="45"/>
    </row>
    <row r="773" spans="4:4" ht="13.5" customHeight="1">
      <c r="D773" s="45"/>
    </row>
    <row r="774" spans="4:4" ht="13.5" customHeight="1">
      <c r="D774" s="45"/>
    </row>
    <row r="775" spans="4:4" ht="13.5" customHeight="1">
      <c r="D775" s="45"/>
    </row>
    <row r="776" spans="4:4" ht="13.5" customHeight="1">
      <c r="D776" s="45"/>
    </row>
    <row r="777" spans="4:4" ht="13.5" customHeight="1">
      <c r="D777" s="45"/>
    </row>
    <row r="778" spans="4:4" ht="13.5" customHeight="1">
      <c r="D778" s="45"/>
    </row>
    <row r="779" spans="4:4" ht="13.5" customHeight="1">
      <c r="D779" s="45"/>
    </row>
    <row r="780" spans="4:4" ht="13.5" customHeight="1">
      <c r="D780" s="45"/>
    </row>
    <row r="781" spans="4:4" ht="13.5" customHeight="1">
      <c r="D781" s="45"/>
    </row>
    <row r="782" spans="4:4" ht="13.5" customHeight="1">
      <c r="D782" s="45"/>
    </row>
    <row r="783" spans="4:4" ht="13.5" customHeight="1">
      <c r="D783" s="45"/>
    </row>
    <row r="784" spans="4:4" ht="13.5" customHeight="1">
      <c r="D784" s="45"/>
    </row>
    <row r="785" spans="4:4" ht="13.5" customHeight="1">
      <c r="D785" s="45"/>
    </row>
    <row r="786" spans="4:4" ht="13.5" customHeight="1">
      <c r="D786" s="45"/>
    </row>
    <row r="787" spans="4:4" ht="13.5" customHeight="1">
      <c r="D787" s="45"/>
    </row>
    <row r="788" spans="4:4" ht="13.5" customHeight="1">
      <c r="D788" s="45"/>
    </row>
    <row r="789" spans="4:4" ht="13.5" customHeight="1">
      <c r="D789" s="45"/>
    </row>
    <row r="790" spans="4:4" ht="13.5" customHeight="1">
      <c r="D790" s="45"/>
    </row>
    <row r="791" spans="4:4" ht="13.5" customHeight="1">
      <c r="D791" s="45"/>
    </row>
    <row r="792" spans="4:4" ht="13.5" customHeight="1">
      <c r="D792" s="45"/>
    </row>
    <row r="793" spans="4:4" ht="13.5" customHeight="1">
      <c r="D793" s="45"/>
    </row>
    <row r="794" spans="4:4" ht="13.5" customHeight="1">
      <c r="D794" s="45"/>
    </row>
    <row r="795" spans="4:4" ht="13.5" customHeight="1">
      <c r="D795" s="45"/>
    </row>
    <row r="796" spans="4:4" ht="13.5" customHeight="1">
      <c r="D796" s="45"/>
    </row>
    <row r="797" spans="4:4" ht="13.5" customHeight="1">
      <c r="D797" s="45"/>
    </row>
    <row r="798" spans="4:4" ht="13.5" customHeight="1">
      <c r="D798" s="45"/>
    </row>
    <row r="799" spans="4:4" ht="13.5" customHeight="1">
      <c r="D799" s="45"/>
    </row>
    <row r="800" spans="4:4" ht="13.5" customHeight="1">
      <c r="D800" s="45"/>
    </row>
    <row r="801" spans="4:4" ht="13.5" customHeight="1">
      <c r="D801" s="45"/>
    </row>
    <row r="802" spans="4:4" ht="13.5" customHeight="1">
      <c r="D802" s="45"/>
    </row>
    <row r="803" spans="4:4" ht="13.5" customHeight="1">
      <c r="D803" s="45"/>
    </row>
    <row r="804" spans="4:4" ht="13.5" customHeight="1">
      <c r="D804" s="45"/>
    </row>
    <row r="805" spans="4:4" ht="13.5" customHeight="1">
      <c r="D805" s="45"/>
    </row>
    <row r="806" spans="4:4" ht="13.5" customHeight="1">
      <c r="D806" s="45"/>
    </row>
    <row r="807" spans="4:4" ht="13.5" customHeight="1">
      <c r="D807" s="45"/>
    </row>
    <row r="808" spans="4:4" ht="13.5" customHeight="1">
      <c r="D808" s="45"/>
    </row>
    <row r="809" spans="4:4" ht="13.5" customHeight="1">
      <c r="D809" s="45"/>
    </row>
    <row r="810" spans="4:4" ht="13.5" customHeight="1">
      <c r="D810" s="45"/>
    </row>
    <row r="811" spans="4:4" ht="13.5" customHeight="1">
      <c r="D811" s="45"/>
    </row>
    <row r="812" spans="4:4" ht="13.5" customHeight="1">
      <c r="D812" s="45"/>
    </row>
    <row r="813" spans="4:4" ht="13.5" customHeight="1">
      <c r="D813" s="45"/>
    </row>
    <row r="814" spans="4:4" ht="13.5" customHeight="1">
      <c r="D814" s="45"/>
    </row>
    <row r="815" spans="4:4" ht="13.5" customHeight="1">
      <c r="D815" s="45"/>
    </row>
    <row r="816" spans="4:4" ht="13.5" customHeight="1">
      <c r="D816" s="45"/>
    </row>
    <row r="817" spans="4:4" ht="13.5" customHeight="1">
      <c r="D817" s="45"/>
    </row>
    <row r="818" spans="4:4" ht="13.5" customHeight="1">
      <c r="D818" s="45"/>
    </row>
    <row r="819" spans="4:4" ht="13.5" customHeight="1">
      <c r="D819" s="45"/>
    </row>
    <row r="820" spans="4:4" ht="13.5" customHeight="1">
      <c r="D820" s="45"/>
    </row>
    <row r="821" spans="4:4" ht="13.5" customHeight="1">
      <c r="D821" s="45"/>
    </row>
    <row r="822" spans="4:4" ht="13.5" customHeight="1">
      <c r="D822" s="45"/>
    </row>
    <row r="823" spans="4:4" ht="13.5" customHeight="1">
      <c r="D823" s="45"/>
    </row>
    <row r="824" spans="4:4" ht="13.5" customHeight="1">
      <c r="D824" s="45"/>
    </row>
    <row r="825" spans="4:4" ht="13.5" customHeight="1">
      <c r="D825" s="45"/>
    </row>
    <row r="826" spans="4:4" ht="13.5" customHeight="1">
      <c r="D826" s="45"/>
    </row>
    <row r="827" spans="4:4" ht="13.5" customHeight="1">
      <c r="D827" s="45"/>
    </row>
    <row r="828" spans="4:4" ht="13.5" customHeight="1">
      <c r="D828" s="45"/>
    </row>
    <row r="829" spans="4:4" ht="13.5" customHeight="1">
      <c r="D829" s="45"/>
    </row>
    <row r="830" spans="4:4" ht="13.5" customHeight="1">
      <c r="D830" s="45"/>
    </row>
    <row r="831" spans="4:4" ht="13.5" customHeight="1">
      <c r="D831" s="45"/>
    </row>
    <row r="832" spans="4:4" ht="13.5" customHeight="1">
      <c r="D832" s="45"/>
    </row>
    <row r="833" spans="4:4" ht="13.5" customHeight="1">
      <c r="D833" s="45"/>
    </row>
    <row r="834" spans="4:4" ht="13.5" customHeight="1">
      <c r="D834" s="45"/>
    </row>
    <row r="835" spans="4:4" ht="13.5" customHeight="1">
      <c r="D835" s="45"/>
    </row>
    <row r="836" spans="4:4" ht="13.5" customHeight="1">
      <c r="D836" s="45"/>
    </row>
    <row r="837" spans="4:4" ht="13.5" customHeight="1">
      <c r="D837" s="45"/>
    </row>
    <row r="838" spans="4:4" ht="13.5" customHeight="1">
      <c r="D838" s="45"/>
    </row>
    <row r="839" spans="4:4" ht="13.5" customHeight="1">
      <c r="D839" s="45"/>
    </row>
    <row r="840" spans="4:4" ht="13.5" customHeight="1">
      <c r="D840" s="45"/>
    </row>
    <row r="841" spans="4:4" ht="13.5" customHeight="1">
      <c r="D841" s="45"/>
    </row>
    <row r="842" spans="4:4" ht="13.5" customHeight="1">
      <c r="D842" s="45"/>
    </row>
    <row r="843" spans="4:4" ht="13.5" customHeight="1">
      <c r="D843" s="45"/>
    </row>
    <row r="844" spans="4:4" ht="13.5" customHeight="1">
      <c r="D844" s="45"/>
    </row>
    <row r="845" spans="4:4" ht="13.5" customHeight="1">
      <c r="D845" s="45"/>
    </row>
    <row r="846" spans="4:4" ht="13.5" customHeight="1">
      <c r="D846" s="45"/>
    </row>
    <row r="847" spans="4:4" ht="13.5" customHeight="1">
      <c r="D847" s="45"/>
    </row>
    <row r="848" spans="4:4" ht="13.5" customHeight="1">
      <c r="D848" s="45"/>
    </row>
    <row r="849" spans="4:4" ht="13.5" customHeight="1">
      <c r="D849" s="45"/>
    </row>
    <row r="850" spans="4:4" ht="13.5" customHeight="1">
      <c r="D850" s="45"/>
    </row>
    <row r="851" spans="4:4" ht="13.5" customHeight="1">
      <c r="D851" s="45"/>
    </row>
    <row r="852" spans="4:4" ht="13.5" customHeight="1">
      <c r="D852" s="45"/>
    </row>
    <row r="853" spans="4:4" ht="13.5" customHeight="1">
      <c r="D853" s="45"/>
    </row>
    <row r="854" spans="4:4" ht="13.5" customHeight="1">
      <c r="D854" s="45"/>
    </row>
    <row r="855" spans="4:4" ht="13.5" customHeight="1">
      <c r="D855" s="45"/>
    </row>
    <row r="856" spans="4:4" ht="13.5" customHeight="1">
      <c r="D856" s="45"/>
    </row>
    <row r="857" spans="4:4" ht="13.5" customHeight="1">
      <c r="D857" s="45"/>
    </row>
    <row r="858" spans="4:4" ht="13.5" customHeight="1">
      <c r="D858" s="45"/>
    </row>
    <row r="859" spans="4:4" ht="13.5" customHeight="1">
      <c r="D859" s="45"/>
    </row>
    <row r="860" spans="4:4" ht="13.5" customHeight="1">
      <c r="D860" s="45"/>
    </row>
    <row r="861" spans="4:4" ht="13.5" customHeight="1">
      <c r="D861" s="45"/>
    </row>
    <row r="862" spans="4:4" ht="13.5" customHeight="1">
      <c r="D862" s="45"/>
    </row>
    <row r="863" spans="4:4" ht="13.5" customHeight="1">
      <c r="D863" s="45"/>
    </row>
    <row r="864" spans="4:4" ht="13.5" customHeight="1">
      <c r="D864" s="45"/>
    </row>
    <row r="865" spans="4:4" ht="13.5" customHeight="1">
      <c r="D865" s="45"/>
    </row>
    <row r="866" spans="4:4" ht="13.5" customHeight="1">
      <c r="D866" s="45"/>
    </row>
    <row r="867" spans="4:4" ht="13.5" customHeight="1">
      <c r="D867" s="45"/>
    </row>
    <row r="868" spans="4:4" ht="13.5" customHeight="1">
      <c r="D868" s="45"/>
    </row>
    <row r="869" spans="4:4" ht="13.5" customHeight="1">
      <c r="D869" s="45"/>
    </row>
    <row r="870" spans="4:4" ht="13.5" customHeight="1">
      <c r="D870" s="45"/>
    </row>
    <row r="871" spans="4:4" ht="13.5" customHeight="1">
      <c r="D871" s="45"/>
    </row>
    <row r="872" spans="4:4" ht="13.5" customHeight="1">
      <c r="D872" s="45"/>
    </row>
    <row r="873" spans="4:4" ht="13.5" customHeight="1">
      <c r="D873" s="45"/>
    </row>
    <row r="874" spans="4:4" ht="13.5" customHeight="1">
      <c r="D874" s="45"/>
    </row>
    <row r="875" spans="4:4" ht="13.5" customHeight="1">
      <c r="D875" s="45"/>
    </row>
    <row r="876" spans="4:4" ht="13.5" customHeight="1">
      <c r="D876" s="45"/>
    </row>
    <row r="877" spans="4:4" ht="13.5" customHeight="1">
      <c r="D877" s="45"/>
    </row>
    <row r="878" spans="4:4" ht="13.5" customHeight="1">
      <c r="D878" s="45"/>
    </row>
    <row r="879" spans="4:4" ht="13.5" customHeight="1">
      <c r="D879" s="45"/>
    </row>
    <row r="880" spans="4:4" ht="13.5" customHeight="1">
      <c r="D880" s="45"/>
    </row>
    <row r="881" spans="4:4" ht="13.5" customHeight="1">
      <c r="D881" s="45"/>
    </row>
    <row r="882" spans="4:4" ht="13.5" customHeight="1">
      <c r="D882" s="45"/>
    </row>
    <row r="883" spans="4:4" ht="13.5" customHeight="1">
      <c r="D883" s="45"/>
    </row>
    <row r="884" spans="4:4" ht="13.5" customHeight="1">
      <c r="D884" s="45"/>
    </row>
    <row r="885" spans="4:4" ht="13.5" customHeight="1">
      <c r="D885" s="45"/>
    </row>
    <row r="886" spans="4:4" ht="13.5" customHeight="1">
      <c r="D886" s="45"/>
    </row>
    <row r="887" spans="4:4" ht="13.5" customHeight="1">
      <c r="D887" s="45"/>
    </row>
    <row r="888" spans="4:4" ht="13.5" customHeight="1">
      <c r="D888" s="45"/>
    </row>
    <row r="889" spans="4:4" ht="13.5" customHeight="1">
      <c r="D889" s="45"/>
    </row>
    <row r="890" spans="4:4" ht="13.5" customHeight="1">
      <c r="D890" s="45"/>
    </row>
    <row r="891" spans="4:4" ht="13.5" customHeight="1">
      <c r="D891" s="45"/>
    </row>
    <row r="892" spans="4:4" ht="13.5" customHeight="1">
      <c r="D892" s="45"/>
    </row>
    <row r="893" spans="4:4" ht="13.5" customHeight="1">
      <c r="D893" s="45"/>
    </row>
    <row r="894" spans="4:4" ht="13.5" customHeight="1">
      <c r="D894" s="45"/>
    </row>
    <row r="895" spans="4:4" ht="13.5" customHeight="1">
      <c r="D895" s="45"/>
    </row>
    <row r="896" spans="4:4" ht="13.5" customHeight="1">
      <c r="D896" s="45"/>
    </row>
    <row r="897" spans="4:4" ht="13.5" customHeight="1">
      <c r="D897" s="45"/>
    </row>
    <row r="898" spans="4:4" ht="13.5" customHeight="1">
      <c r="D898" s="45"/>
    </row>
    <row r="899" spans="4:4" ht="13.5" customHeight="1">
      <c r="D899" s="45"/>
    </row>
    <row r="900" spans="4:4" ht="13.5" customHeight="1">
      <c r="D900" s="45"/>
    </row>
    <row r="901" spans="4:4" ht="13.5" customHeight="1">
      <c r="D901" s="45"/>
    </row>
    <row r="902" spans="4:4" ht="13.5" customHeight="1">
      <c r="D902" s="45"/>
    </row>
    <row r="903" spans="4:4" ht="13.5" customHeight="1">
      <c r="D903" s="45"/>
    </row>
    <row r="904" spans="4:4" ht="13.5" customHeight="1">
      <c r="D904" s="45"/>
    </row>
    <row r="905" spans="4:4" ht="13.5" customHeight="1">
      <c r="D905" s="45"/>
    </row>
    <row r="906" spans="4:4" ht="13.5" customHeight="1">
      <c r="D906" s="45"/>
    </row>
    <row r="907" spans="4:4" ht="13.5" customHeight="1">
      <c r="D907" s="45"/>
    </row>
    <row r="908" spans="4:4" ht="13.5" customHeight="1">
      <c r="D908" s="45"/>
    </row>
    <row r="909" spans="4:4" ht="13.5" customHeight="1">
      <c r="D909" s="45"/>
    </row>
    <row r="910" spans="4:4" ht="13.5" customHeight="1">
      <c r="D910" s="45"/>
    </row>
    <row r="911" spans="4:4" ht="13.5" customHeight="1">
      <c r="D911" s="45"/>
    </row>
    <row r="912" spans="4:4" ht="13.5" customHeight="1">
      <c r="D912" s="45"/>
    </row>
    <row r="913" spans="4:4" ht="13.5" customHeight="1">
      <c r="D913" s="45"/>
    </row>
    <row r="914" spans="4:4" ht="13.5" customHeight="1">
      <c r="D914" s="45"/>
    </row>
    <row r="915" spans="4:4" ht="13.5" customHeight="1">
      <c r="D915" s="45"/>
    </row>
    <row r="916" spans="4:4" ht="13.5" customHeight="1">
      <c r="D916" s="45"/>
    </row>
    <row r="917" spans="4:4" ht="13.5" customHeight="1">
      <c r="D917" s="45"/>
    </row>
    <row r="918" spans="4:4" ht="13.5" customHeight="1">
      <c r="D918" s="45"/>
    </row>
    <row r="919" spans="4:4" ht="13.5" customHeight="1">
      <c r="D919" s="45"/>
    </row>
    <row r="920" spans="4:4" ht="13.5" customHeight="1">
      <c r="D920" s="45"/>
    </row>
    <row r="921" spans="4:4" ht="13.5" customHeight="1">
      <c r="D921" s="45"/>
    </row>
    <row r="922" spans="4:4" ht="13.5" customHeight="1">
      <c r="D922" s="45"/>
    </row>
    <row r="923" spans="4:4" ht="13.5" customHeight="1">
      <c r="D923" s="45"/>
    </row>
    <row r="924" spans="4:4" ht="13.5" customHeight="1">
      <c r="D924" s="45"/>
    </row>
    <row r="925" spans="4:4" ht="13.5" customHeight="1">
      <c r="D925" s="45"/>
    </row>
    <row r="926" spans="4:4" ht="13.5" customHeight="1">
      <c r="D926" s="45"/>
    </row>
    <row r="927" spans="4:4" ht="13.5" customHeight="1">
      <c r="D927" s="45"/>
    </row>
    <row r="928" spans="4:4" ht="13.5" customHeight="1">
      <c r="D928" s="45"/>
    </row>
    <row r="929" spans="4:4" ht="13.5" customHeight="1">
      <c r="D929" s="45"/>
    </row>
    <row r="930" spans="4:4" ht="13.5" customHeight="1">
      <c r="D930" s="45"/>
    </row>
    <row r="931" spans="4:4" ht="13.5" customHeight="1">
      <c r="D931" s="45"/>
    </row>
    <row r="932" spans="4:4" ht="13.5" customHeight="1">
      <c r="D932" s="45"/>
    </row>
    <row r="933" spans="4:4" ht="13.5" customHeight="1">
      <c r="D933" s="45"/>
    </row>
    <row r="934" spans="4:4" ht="13.5" customHeight="1">
      <c r="D934" s="45"/>
    </row>
    <row r="935" spans="4:4" ht="13.5" customHeight="1">
      <c r="D935" s="45"/>
    </row>
    <row r="936" spans="4:4" ht="13.5" customHeight="1">
      <c r="D936" s="45"/>
    </row>
    <row r="937" spans="4:4" ht="13.5" customHeight="1">
      <c r="D937" s="45"/>
    </row>
    <row r="938" spans="4:4" ht="13.5" customHeight="1">
      <c r="D938" s="45"/>
    </row>
    <row r="939" spans="4:4" ht="13.5" customHeight="1">
      <c r="D939" s="45"/>
    </row>
    <row r="940" spans="4:4" ht="13.5" customHeight="1">
      <c r="D940" s="45"/>
    </row>
    <row r="941" spans="4:4" ht="13.5" customHeight="1">
      <c r="D941" s="45"/>
    </row>
    <row r="942" spans="4:4" ht="13.5" customHeight="1">
      <c r="D942" s="45"/>
    </row>
    <row r="943" spans="4:4" ht="13.5" customHeight="1">
      <c r="D943" s="45"/>
    </row>
    <row r="944" spans="4:4" ht="13.5" customHeight="1">
      <c r="D944" s="45"/>
    </row>
    <row r="945" spans="4:4" ht="13.5" customHeight="1">
      <c r="D945" s="45"/>
    </row>
    <row r="946" spans="4:4" ht="13.5" customHeight="1">
      <c r="D946" s="45"/>
    </row>
    <row r="947" spans="4:4" ht="13.5" customHeight="1">
      <c r="D947" s="45"/>
    </row>
    <row r="948" spans="4:4" ht="13.5" customHeight="1">
      <c r="D948" s="45"/>
    </row>
    <row r="949" spans="4:4" ht="13.5" customHeight="1">
      <c r="D949" s="45"/>
    </row>
    <row r="950" spans="4:4" ht="13.5" customHeight="1">
      <c r="D950" s="45"/>
    </row>
    <row r="951" spans="4:4" ht="13.5" customHeight="1">
      <c r="D951" s="45"/>
    </row>
    <row r="952" spans="4:4" ht="13.5" customHeight="1">
      <c r="D952" s="45"/>
    </row>
    <row r="953" spans="4:4" ht="13.5" customHeight="1">
      <c r="D953" s="45"/>
    </row>
    <row r="954" spans="4:4" ht="13.5" customHeight="1">
      <c r="D954" s="45"/>
    </row>
    <row r="955" spans="4:4" ht="13.5" customHeight="1">
      <c r="D955" s="45"/>
    </row>
    <row r="956" spans="4:4" ht="13.5" customHeight="1">
      <c r="D956" s="45"/>
    </row>
    <row r="957" spans="4:4" ht="13.5" customHeight="1">
      <c r="D957" s="45"/>
    </row>
    <row r="958" spans="4:4" ht="13.5" customHeight="1">
      <c r="D958" s="45"/>
    </row>
    <row r="959" spans="4:4" ht="13.5" customHeight="1">
      <c r="D959" s="45"/>
    </row>
    <row r="960" spans="4:4" ht="13.5" customHeight="1">
      <c r="D960" s="45"/>
    </row>
    <row r="961" spans="4:4" ht="13.5" customHeight="1">
      <c r="D961" s="45"/>
    </row>
    <row r="962" spans="4:4" ht="13.5" customHeight="1">
      <c r="D962" s="45"/>
    </row>
    <row r="963" spans="4:4" ht="13.5" customHeight="1">
      <c r="D963" s="45"/>
    </row>
    <row r="964" spans="4:4" ht="13.5" customHeight="1">
      <c r="D964" s="45"/>
    </row>
    <row r="965" spans="4:4" ht="13.5" customHeight="1">
      <c r="D965" s="45"/>
    </row>
    <row r="966" spans="4:4" ht="13.5" customHeight="1">
      <c r="D966" s="45"/>
    </row>
    <row r="967" spans="4:4" ht="13.5" customHeight="1">
      <c r="D967" s="45"/>
    </row>
    <row r="968" spans="4:4" ht="13.5" customHeight="1">
      <c r="D968" s="45"/>
    </row>
    <row r="969" spans="4:4" ht="13.5" customHeight="1">
      <c r="D969" s="45"/>
    </row>
    <row r="970" spans="4:4" ht="13.5" customHeight="1">
      <c r="D970" s="45"/>
    </row>
    <row r="971" spans="4:4" ht="13.5" customHeight="1">
      <c r="D971" s="45"/>
    </row>
    <row r="972" spans="4:4" ht="13.5" customHeight="1">
      <c r="D972" s="45"/>
    </row>
    <row r="973" spans="4:4" ht="13.5" customHeight="1">
      <c r="D973" s="45"/>
    </row>
    <row r="974" spans="4:4" ht="13.5" customHeight="1">
      <c r="D974" s="45"/>
    </row>
    <row r="975" spans="4:4" ht="13.5" customHeight="1">
      <c r="D975" s="45"/>
    </row>
    <row r="976" spans="4:4" ht="13.5" customHeight="1">
      <c r="D976" s="45"/>
    </row>
    <row r="977" spans="4:4" ht="13.5" customHeight="1">
      <c r="D977" s="45"/>
    </row>
    <row r="978" spans="4:4" ht="13.5" customHeight="1">
      <c r="D978" s="45"/>
    </row>
    <row r="979" spans="4:4" ht="13.5" customHeight="1">
      <c r="D979" s="45"/>
    </row>
    <row r="980" spans="4:4" ht="13.5" customHeight="1">
      <c r="D980" s="45"/>
    </row>
    <row r="981" spans="4:4" ht="13.5" customHeight="1">
      <c r="D981" s="45"/>
    </row>
    <row r="982" spans="4:4" ht="13.5" customHeight="1">
      <c r="D982" s="45"/>
    </row>
    <row r="983" spans="4:4" ht="13.5" customHeight="1">
      <c r="D983" s="45"/>
    </row>
    <row r="984" spans="4:4" ht="13.5" customHeight="1">
      <c r="D984" s="45"/>
    </row>
    <row r="985" spans="4:4" ht="13.5" customHeight="1">
      <c r="D985" s="45"/>
    </row>
    <row r="986" spans="4:4" ht="13.5" customHeight="1">
      <c r="D986" s="45"/>
    </row>
    <row r="987" spans="4:4" ht="13.5" customHeight="1">
      <c r="D987" s="45"/>
    </row>
    <row r="988" spans="4:4" ht="13.5" customHeight="1">
      <c r="D988" s="45"/>
    </row>
    <row r="989" spans="4:4" ht="13.5" customHeight="1">
      <c r="D989" s="45"/>
    </row>
    <row r="990" spans="4:4" ht="13.5" customHeight="1">
      <c r="D990" s="45"/>
    </row>
    <row r="991" spans="4:4" ht="13.5" customHeight="1">
      <c r="D991" s="45"/>
    </row>
    <row r="992" spans="4:4" ht="13.5" customHeight="1">
      <c r="D992" s="45"/>
    </row>
    <row r="993" spans="4:4" ht="13.5" customHeight="1">
      <c r="D993" s="45"/>
    </row>
    <row r="994" spans="4:4" ht="13.5" customHeight="1">
      <c r="D994" s="45"/>
    </row>
    <row r="995" spans="4:4" ht="13.5" customHeight="1">
      <c r="D995" s="45"/>
    </row>
    <row r="996" spans="4:4" ht="13.5" customHeight="1">
      <c r="D996" s="45"/>
    </row>
    <row r="997" spans="4:4" ht="13.5" customHeight="1">
      <c r="D997" s="45"/>
    </row>
    <row r="998" spans="4:4" ht="13.5" customHeight="1">
      <c r="D998" s="45"/>
    </row>
    <row r="999" spans="4:4" ht="13.5" customHeight="1">
      <c r="D999" s="45"/>
    </row>
    <row r="1000" spans="4:4" ht="13.5" customHeight="1">
      <c r="D1000" s="4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Quotation</vt:lpstr>
      <vt:lpstr>SHEET 2</vt:lpstr>
      <vt:lpstr>22</vt:lpstr>
      <vt:lpstr>25</vt:lpstr>
      <vt:lpstr>29</vt:lpstr>
      <vt:lpstr>62</vt:lpstr>
      <vt:lpstr>SHEET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2025-11-26T06:44:30Z</dcterms:created>
  <dcterms:modified xsi:type="dcterms:W3CDTF">2025-11-27T07:44:57Z</dcterms:modified>
</cp:coreProperties>
</file>